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C:\Users\shanz\Desktop\EXCEL\"/>
    </mc:Choice>
  </mc:AlternateContent>
  <xr:revisionPtr revIDLastSave="0" documentId="13_ncr:1_{56BE8BA6-5CA6-4342-B40B-C798F4782165}" xr6:coauthVersionLast="47" xr6:coauthVersionMax="47" xr10:uidLastSave="{00000000-0000-0000-0000-000000000000}"/>
  <bookViews>
    <workbookView xWindow="-108" yWindow="-108" windowWidth="23256" windowHeight="12456" xr2:uid="{00000000-000D-0000-FFFF-FFFF00000000}"/>
  </bookViews>
  <sheets>
    <sheet name="Dashboard" sheetId="7" r:id="rId1"/>
    <sheet name="Data Analysis" sheetId="4" r:id="rId2"/>
    <sheet name="cleaned data" sheetId="1" r:id="rId3"/>
    <sheet name="Category analysis with PivotTab" sheetId="5" r:id="rId4"/>
  </sheets>
  <definedNames>
    <definedName name="_xlnm._FilterDatabase" localSheetId="2" hidden="1">'cleaned data'!$K$1:$K$501</definedName>
  </definedNames>
  <calcPr calcId="191029"/>
  <pivotCaches>
    <pivotCache cacheId="0" r:id="rId5"/>
  </pivotCaches>
</workbook>
</file>

<file path=xl/calcChain.xml><?xml version="1.0" encoding="utf-8"?>
<calcChain xmlns="http://schemas.openxmlformats.org/spreadsheetml/2006/main">
  <c r="B123" i="5" l="1"/>
  <c r="B91" i="5"/>
  <c r="B69" i="5"/>
  <c r="B47" i="5"/>
  <c r="B32" i="5"/>
  <c r="B10" i="4"/>
  <c r="B9" i="4"/>
  <c r="B8" i="4"/>
  <c r="B5" i="4"/>
  <c r="B4" i="4"/>
  <c r="B3" i="4"/>
  <c r="B2" i="4"/>
  <c r="B1" i="4"/>
  <c r="L501" i="1"/>
  <c r="K501" i="1"/>
  <c r="L500" i="1"/>
  <c r="K500" i="1"/>
  <c r="L499" i="1"/>
  <c r="K499" i="1"/>
  <c r="L498" i="1"/>
  <c r="K498" i="1"/>
  <c r="L497" i="1"/>
  <c r="K497" i="1"/>
  <c r="L496" i="1"/>
  <c r="K496" i="1"/>
  <c r="L495" i="1"/>
  <c r="K495" i="1"/>
  <c r="L494" i="1"/>
  <c r="K494" i="1"/>
  <c r="L493" i="1"/>
  <c r="K493" i="1"/>
  <c r="L492" i="1"/>
  <c r="K492" i="1"/>
  <c r="L491" i="1"/>
  <c r="K491" i="1"/>
  <c r="L490" i="1"/>
  <c r="K490" i="1"/>
  <c r="L489" i="1"/>
  <c r="K489" i="1"/>
  <c r="L488" i="1"/>
  <c r="K488" i="1"/>
  <c r="L487" i="1"/>
  <c r="K487" i="1"/>
  <c r="L486" i="1"/>
  <c r="K486" i="1"/>
  <c r="L485" i="1"/>
  <c r="K485" i="1"/>
  <c r="L484" i="1"/>
  <c r="K484" i="1"/>
  <c r="L483" i="1"/>
  <c r="K483" i="1"/>
  <c r="L482" i="1"/>
  <c r="K482" i="1"/>
  <c r="L481" i="1"/>
  <c r="K481" i="1"/>
  <c r="L480" i="1"/>
  <c r="K480" i="1"/>
  <c r="L479" i="1"/>
  <c r="K479" i="1"/>
  <c r="L478" i="1"/>
  <c r="K478" i="1"/>
  <c r="L477" i="1"/>
  <c r="K477" i="1"/>
  <c r="L476" i="1"/>
  <c r="K476" i="1"/>
  <c r="L475" i="1"/>
  <c r="K475" i="1"/>
  <c r="L474" i="1"/>
  <c r="K474" i="1"/>
  <c r="L473" i="1"/>
  <c r="K473" i="1"/>
  <c r="L472" i="1"/>
  <c r="K472" i="1"/>
  <c r="L471" i="1"/>
  <c r="K471" i="1"/>
  <c r="L470" i="1"/>
  <c r="K470" i="1"/>
  <c r="L469" i="1"/>
  <c r="K469" i="1"/>
  <c r="L468" i="1"/>
  <c r="K468" i="1"/>
  <c r="L467" i="1"/>
  <c r="K467" i="1"/>
  <c r="L466" i="1"/>
  <c r="K466" i="1"/>
  <c r="L465" i="1"/>
  <c r="K465" i="1"/>
  <c r="L464" i="1"/>
  <c r="K464" i="1"/>
  <c r="L463" i="1"/>
  <c r="K463" i="1"/>
  <c r="L462" i="1"/>
  <c r="K462" i="1"/>
  <c r="L461" i="1"/>
  <c r="K461" i="1"/>
  <c r="L460" i="1"/>
  <c r="K460" i="1"/>
  <c r="L459" i="1"/>
  <c r="K459" i="1"/>
  <c r="L458" i="1"/>
  <c r="K458" i="1"/>
  <c r="L457" i="1"/>
  <c r="K457" i="1"/>
  <c r="L456" i="1"/>
  <c r="K456" i="1"/>
  <c r="L455" i="1"/>
  <c r="K455" i="1"/>
  <c r="L454" i="1"/>
  <c r="K454" i="1"/>
  <c r="L453" i="1"/>
  <c r="K453" i="1"/>
  <c r="L452" i="1"/>
  <c r="K452" i="1"/>
  <c r="L451" i="1"/>
  <c r="K451" i="1"/>
  <c r="L450" i="1"/>
  <c r="K450" i="1"/>
  <c r="L449" i="1"/>
  <c r="K449" i="1"/>
  <c r="L448" i="1"/>
  <c r="K448" i="1"/>
  <c r="L447" i="1"/>
  <c r="K447" i="1"/>
  <c r="L446" i="1"/>
  <c r="K446" i="1"/>
  <c r="L445" i="1"/>
  <c r="K445" i="1"/>
  <c r="L444" i="1"/>
  <c r="K444" i="1"/>
  <c r="L443" i="1"/>
  <c r="K443" i="1"/>
  <c r="L442" i="1"/>
  <c r="K442" i="1"/>
  <c r="L441" i="1"/>
  <c r="K441" i="1"/>
  <c r="L440" i="1"/>
  <c r="K440" i="1"/>
  <c r="L439" i="1"/>
  <c r="K439" i="1"/>
  <c r="L438" i="1"/>
  <c r="K438" i="1"/>
  <c r="L437" i="1"/>
  <c r="K437" i="1"/>
  <c r="L436" i="1"/>
  <c r="K436" i="1"/>
  <c r="L435" i="1"/>
  <c r="K435" i="1"/>
  <c r="L434" i="1"/>
  <c r="K434" i="1"/>
  <c r="L433" i="1"/>
  <c r="K433" i="1"/>
  <c r="L432" i="1"/>
  <c r="K432" i="1"/>
  <c r="L431" i="1"/>
  <c r="K431" i="1"/>
  <c r="L430" i="1"/>
  <c r="K430" i="1"/>
  <c r="L429" i="1"/>
  <c r="K429" i="1"/>
  <c r="L428" i="1"/>
  <c r="K428" i="1"/>
  <c r="L427" i="1"/>
  <c r="K427" i="1"/>
  <c r="L426" i="1"/>
  <c r="K426" i="1"/>
  <c r="L425" i="1"/>
  <c r="K425" i="1"/>
  <c r="L424" i="1"/>
  <c r="K424" i="1"/>
  <c r="L423" i="1"/>
  <c r="K423" i="1"/>
  <c r="L422" i="1"/>
  <c r="K422" i="1"/>
  <c r="L421" i="1"/>
  <c r="K421" i="1"/>
  <c r="L420" i="1"/>
  <c r="K420" i="1"/>
  <c r="L419" i="1"/>
  <c r="K419" i="1"/>
  <c r="L418" i="1"/>
  <c r="K418" i="1"/>
  <c r="L417" i="1"/>
  <c r="K417" i="1"/>
  <c r="L416" i="1"/>
  <c r="K416" i="1"/>
  <c r="L415" i="1"/>
  <c r="K415" i="1"/>
  <c r="L414" i="1"/>
  <c r="K414" i="1"/>
  <c r="L413" i="1"/>
  <c r="K413" i="1"/>
  <c r="L412" i="1"/>
  <c r="K412" i="1"/>
  <c r="L411" i="1"/>
  <c r="K411" i="1"/>
  <c r="L410" i="1"/>
  <c r="K410" i="1"/>
  <c r="L409" i="1"/>
  <c r="K409" i="1"/>
  <c r="L408" i="1"/>
  <c r="K408" i="1"/>
  <c r="L407" i="1"/>
  <c r="K407" i="1"/>
  <c r="L406" i="1"/>
  <c r="K406" i="1"/>
  <c r="L405" i="1"/>
  <c r="K405" i="1"/>
  <c r="L404" i="1"/>
  <c r="K404" i="1"/>
  <c r="L403" i="1"/>
  <c r="K403" i="1"/>
  <c r="L402" i="1"/>
  <c r="K402" i="1"/>
  <c r="L401" i="1"/>
  <c r="K401" i="1"/>
  <c r="L400" i="1"/>
  <c r="K400" i="1"/>
  <c r="L399" i="1"/>
  <c r="K399" i="1"/>
  <c r="L398" i="1"/>
  <c r="K398" i="1"/>
  <c r="L397" i="1"/>
  <c r="K397" i="1"/>
  <c r="L396" i="1"/>
  <c r="K396" i="1"/>
  <c r="L395" i="1"/>
  <c r="K395" i="1"/>
  <c r="L394" i="1"/>
  <c r="K394" i="1"/>
  <c r="L393" i="1"/>
  <c r="K393" i="1"/>
  <c r="L392" i="1"/>
  <c r="K392" i="1"/>
  <c r="L391" i="1"/>
  <c r="K391" i="1"/>
  <c r="L390" i="1"/>
  <c r="K390" i="1"/>
  <c r="L389" i="1"/>
  <c r="K389" i="1"/>
  <c r="L388" i="1"/>
  <c r="K388" i="1"/>
  <c r="L387" i="1"/>
  <c r="K387" i="1"/>
  <c r="L386" i="1"/>
  <c r="K386" i="1"/>
  <c r="L385" i="1"/>
  <c r="K385" i="1"/>
  <c r="L384" i="1"/>
  <c r="K384" i="1"/>
  <c r="L383" i="1"/>
  <c r="K383" i="1"/>
  <c r="L382" i="1"/>
  <c r="K382" i="1"/>
  <c r="L381" i="1"/>
  <c r="K381" i="1"/>
  <c r="L380" i="1"/>
  <c r="K380" i="1"/>
  <c r="L379" i="1"/>
  <c r="K379" i="1"/>
  <c r="L378" i="1"/>
  <c r="K378" i="1"/>
  <c r="L377" i="1"/>
  <c r="K377" i="1"/>
  <c r="L376" i="1"/>
  <c r="K376" i="1"/>
  <c r="L375" i="1"/>
  <c r="K375" i="1"/>
  <c r="L374" i="1"/>
  <c r="K374" i="1"/>
  <c r="L373" i="1"/>
  <c r="K373" i="1"/>
  <c r="L372" i="1"/>
  <c r="K372" i="1"/>
  <c r="L371" i="1"/>
  <c r="K371" i="1"/>
  <c r="L370" i="1"/>
  <c r="K370" i="1"/>
  <c r="L369" i="1"/>
  <c r="K369" i="1"/>
  <c r="L368" i="1"/>
  <c r="K368" i="1"/>
  <c r="L367" i="1"/>
  <c r="K367" i="1"/>
  <c r="L366" i="1"/>
  <c r="K366" i="1"/>
  <c r="L365" i="1"/>
  <c r="K365" i="1"/>
  <c r="L364" i="1"/>
  <c r="K364" i="1"/>
  <c r="L363" i="1"/>
  <c r="K363" i="1"/>
  <c r="L362" i="1"/>
  <c r="K362" i="1"/>
  <c r="L361" i="1"/>
  <c r="K361" i="1"/>
  <c r="L360" i="1"/>
  <c r="K360" i="1"/>
  <c r="L359" i="1"/>
  <c r="K359" i="1"/>
  <c r="L358" i="1"/>
  <c r="K358" i="1"/>
  <c r="L357" i="1"/>
  <c r="K357" i="1"/>
  <c r="L356" i="1"/>
  <c r="K356" i="1"/>
  <c r="L355" i="1"/>
  <c r="K355" i="1"/>
  <c r="L354" i="1"/>
  <c r="K354" i="1"/>
  <c r="L353" i="1"/>
  <c r="K353" i="1"/>
  <c r="L352" i="1"/>
  <c r="K352" i="1"/>
  <c r="L351" i="1"/>
  <c r="K351" i="1"/>
  <c r="L350" i="1"/>
  <c r="K350" i="1"/>
  <c r="L349" i="1"/>
  <c r="K349" i="1"/>
  <c r="L348" i="1"/>
  <c r="K348" i="1"/>
  <c r="L347" i="1"/>
  <c r="K347" i="1"/>
  <c r="L346" i="1"/>
  <c r="K346" i="1"/>
  <c r="L345" i="1"/>
  <c r="K345" i="1"/>
  <c r="L344" i="1"/>
  <c r="K344" i="1"/>
  <c r="L343" i="1"/>
  <c r="K343" i="1"/>
  <c r="L342" i="1"/>
  <c r="K342" i="1"/>
  <c r="L341" i="1"/>
  <c r="K341" i="1"/>
  <c r="L340" i="1"/>
  <c r="K340" i="1"/>
  <c r="L339" i="1"/>
  <c r="K339" i="1"/>
  <c r="L338" i="1"/>
  <c r="K338" i="1"/>
  <c r="L337" i="1"/>
  <c r="K337" i="1"/>
  <c r="L336" i="1"/>
  <c r="K336" i="1"/>
  <c r="L335" i="1"/>
  <c r="K335" i="1"/>
  <c r="L334" i="1"/>
  <c r="K334" i="1"/>
  <c r="L333" i="1"/>
  <c r="K333" i="1"/>
  <c r="L332" i="1"/>
  <c r="K332" i="1"/>
  <c r="L331" i="1"/>
  <c r="K331" i="1"/>
  <c r="L330" i="1"/>
  <c r="K330" i="1"/>
  <c r="L329" i="1"/>
  <c r="K329" i="1"/>
  <c r="L328" i="1"/>
  <c r="K328" i="1"/>
  <c r="L327" i="1"/>
  <c r="K327" i="1"/>
  <c r="L326" i="1"/>
  <c r="K326" i="1"/>
  <c r="L325" i="1"/>
  <c r="K325" i="1"/>
  <c r="L324" i="1"/>
  <c r="K324" i="1"/>
  <c r="L323" i="1"/>
  <c r="K323" i="1"/>
  <c r="L322" i="1"/>
  <c r="K322" i="1"/>
  <c r="L321" i="1"/>
  <c r="K321" i="1"/>
  <c r="L320" i="1"/>
  <c r="K320" i="1"/>
  <c r="L319" i="1"/>
  <c r="K319" i="1"/>
  <c r="L318" i="1"/>
  <c r="K318" i="1"/>
  <c r="L317" i="1"/>
  <c r="K317" i="1"/>
  <c r="L316" i="1"/>
  <c r="K316" i="1"/>
  <c r="L315" i="1"/>
  <c r="K315" i="1"/>
  <c r="L314" i="1"/>
  <c r="K314" i="1"/>
  <c r="L313" i="1"/>
  <c r="K313" i="1"/>
  <c r="L312" i="1"/>
  <c r="K312" i="1"/>
  <c r="L311" i="1"/>
  <c r="K311" i="1"/>
  <c r="L310" i="1"/>
  <c r="K310" i="1"/>
  <c r="L309" i="1"/>
  <c r="K309" i="1"/>
  <c r="L308" i="1"/>
  <c r="K308" i="1"/>
  <c r="L307" i="1"/>
  <c r="K307" i="1"/>
  <c r="L306" i="1"/>
  <c r="K306" i="1"/>
  <c r="L305" i="1"/>
  <c r="K305" i="1"/>
  <c r="L304" i="1"/>
  <c r="K304" i="1"/>
  <c r="L303" i="1"/>
  <c r="K303" i="1"/>
  <c r="L302" i="1"/>
  <c r="K302" i="1"/>
  <c r="L301" i="1"/>
  <c r="K301" i="1"/>
  <c r="L300" i="1"/>
  <c r="K300" i="1"/>
  <c r="L299" i="1"/>
  <c r="K299" i="1"/>
  <c r="L298" i="1"/>
  <c r="K298" i="1"/>
  <c r="L297" i="1"/>
  <c r="K297" i="1"/>
  <c r="L296" i="1"/>
  <c r="K296" i="1"/>
  <c r="L295" i="1"/>
  <c r="K295" i="1"/>
  <c r="L294" i="1"/>
  <c r="K294" i="1"/>
  <c r="L293" i="1"/>
  <c r="K293" i="1"/>
  <c r="L292" i="1"/>
  <c r="K292" i="1"/>
  <c r="L291" i="1"/>
  <c r="K291" i="1"/>
  <c r="L290" i="1"/>
  <c r="K290" i="1"/>
  <c r="L289" i="1"/>
  <c r="K289" i="1"/>
  <c r="L288" i="1"/>
  <c r="K288" i="1"/>
  <c r="L287" i="1"/>
  <c r="K287" i="1"/>
  <c r="L286" i="1"/>
  <c r="K286" i="1"/>
  <c r="L285" i="1"/>
  <c r="K285" i="1"/>
  <c r="L284" i="1"/>
  <c r="K284" i="1"/>
  <c r="L283" i="1"/>
  <c r="K283" i="1"/>
  <c r="L282" i="1"/>
  <c r="K282" i="1"/>
  <c r="L281" i="1"/>
  <c r="K281" i="1"/>
  <c r="L280" i="1"/>
  <c r="K280" i="1"/>
  <c r="L279" i="1"/>
  <c r="K279" i="1"/>
  <c r="L278" i="1"/>
  <c r="K278" i="1"/>
  <c r="L277" i="1"/>
  <c r="K277" i="1"/>
  <c r="L276" i="1"/>
  <c r="K276" i="1"/>
  <c r="L275" i="1"/>
  <c r="K275" i="1"/>
  <c r="L274" i="1"/>
  <c r="K274" i="1"/>
  <c r="L273" i="1"/>
  <c r="K273" i="1"/>
  <c r="L272" i="1"/>
  <c r="K272" i="1"/>
  <c r="L271" i="1"/>
  <c r="K271" i="1"/>
  <c r="L270" i="1"/>
  <c r="K270" i="1"/>
  <c r="L269" i="1"/>
  <c r="K269" i="1"/>
  <c r="L268" i="1"/>
  <c r="K268" i="1"/>
  <c r="L267" i="1"/>
  <c r="K267" i="1"/>
  <c r="L266" i="1"/>
  <c r="K266" i="1"/>
  <c r="L265" i="1"/>
  <c r="K265" i="1"/>
  <c r="L264" i="1"/>
  <c r="K264" i="1"/>
  <c r="L263" i="1"/>
  <c r="K263" i="1"/>
  <c r="L262" i="1"/>
  <c r="K262" i="1"/>
  <c r="L261" i="1"/>
  <c r="K261" i="1"/>
  <c r="L260" i="1"/>
  <c r="K260" i="1"/>
  <c r="L259" i="1"/>
  <c r="K259" i="1"/>
  <c r="L258" i="1"/>
  <c r="K258" i="1"/>
  <c r="L257" i="1"/>
  <c r="K257" i="1"/>
  <c r="L256" i="1"/>
  <c r="K256" i="1"/>
  <c r="L255" i="1"/>
  <c r="K255" i="1"/>
  <c r="L254" i="1"/>
  <c r="K254" i="1"/>
  <c r="L253" i="1"/>
  <c r="K253" i="1"/>
  <c r="L252" i="1"/>
  <c r="K252" i="1"/>
  <c r="L251" i="1"/>
  <c r="K251" i="1"/>
  <c r="L250" i="1"/>
  <c r="K250" i="1"/>
  <c r="L249" i="1"/>
  <c r="K249" i="1"/>
  <c r="L248" i="1"/>
  <c r="K248" i="1"/>
  <c r="L247" i="1"/>
  <c r="K247" i="1"/>
  <c r="L246" i="1"/>
  <c r="K246" i="1"/>
  <c r="L245" i="1"/>
  <c r="K245" i="1"/>
  <c r="L244" i="1"/>
  <c r="K244" i="1"/>
  <c r="L243" i="1"/>
  <c r="K243" i="1"/>
  <c r="L242" i="1"/>
  <c r="K242" i="1"/>
  <c r="L241" i="1"/>
  <c r="K241" i="1"/>
  <c r="L240" i="1"/>
  <c r="K240" i="1"/>
  <c r="L239" i="1"/>
  <c r="K239" i="1"/>
  <c r="L238" i="1"/>
  <c r="K238" i="1"/>
  <c r="L237" i="1"/>
  <c r="K237" i="1"/>
  <c r="L236" i="1"/>
  <c r="K236" i="1"/>
  <c r="L235" i="1"/>
  <c r="K235" i="1"/>
  <c r="L234" i="1"/>
  <c r="K234" i="1"/>
  <c r="L233" i="1"/>
  <c r="K233" i="1"/>
  <c r="L232" i="1"/>
  <c r="K232" i="1"/>
  <c r="L231" i="1"/>
  <c r="K231" i="1"/>
  <c r="L230" i="1"/>
  <c r="K230" i="1"/>
  <c r="L229" i="1"/>
  <c r="K229" i="1"/>
  <c r="L228" i="1"/>
  <c r="K228" i="1"/>
  <c r="L227" i="1"/>
  <c r="K227" i="1"/>
  <c r="L226" i="1"/>
  <c r="K226" i="1"/>
  <c r="L225" i="1"/>
  <c r="K225" i="1"/>
  <c r="L224" i="1"/>
  <c r="K224" i="1"/>
  <c r="L223" i="1"/>
  <c r="K223" i="1"/>
  <c r="L222" i="1"/>
  <c r="K222" i="1"/>
  <c r="L221" i="1"/>
  <c r="K221" i="1"/>
  <c r="L220" i="1"/>
  <c r="K220" i="1"/>
  <c r="L219" i="1"/>
  <c r="K219" i="1"/>
  <c r="L218" i="1"/>
  <c r="K218" i="1"/>
  <c r="L217" i="1"/>
  <c r="K217" i="1"/>
  <c r="L216" i="1"/>
  <c r="K216" i="1"/>
  <c r="L215" i="1"/>
  <c r="K215" i="1"/>
  <c r="L214" i="1"/>
  <c r="K214" i="1"/>
  <c r="L213" i="1"/>
  <c r="K213" i="1"/>
  <c r="L212" i="1"/>
  <c r="K212" i="1"/>
  <c r="L211" i="1"/>
  <c r="K211" i="1"/>
  <c r="L210" i="1"/>
  <c r="K210" i="1"/>
  <c r="L209" i="1"/>
  <c r="K209" i="1"/>
  <c r="L208" i="1"/>
  <c r="K208" i="1"/>
  <c r="L207" i="1"/>
  <c r="K207" i="1"/>
  <c r="L206" i="1"/>
  <c r="K206" i="1"/>
  <c r="L205" i="1"/>
  <c r="K205" i="1"/>
  <c r="L204" i="1"/>
  <c r="K204" i="1"/>
  <c r="L203" i="1"/>
  <c r="K203" i="1"/>
  <c r="L202" i="1"/>
  <c r="K202" i="1"/>
  <c r="L201" i="1"/>
  <c r="K201" i="1"/>
  <c r="L200" i="1"/>
  <c r="K200" i="1"/>
  <c r="L199" i="1"/>
  <c r="K199" i="1"/>
  <c r="L198" i="1"/>
  <c r="K198" i="1"/>
  <c r="L197" i="1"/>
  <c r="K197" i="1"/>
  <c r="L196" i="1"/>
  <c r="K196" i="1"/>
  <c r="L195" i="1"/>
  <c r="K195" i="1"/>
  <c r="L194" i="1"/>
  <c r="K194" i="1"/>
  <c r="L193" i="1"/>
  <c r="K193" i="1"/>
  <c r="L192" i="1"/>
  <c r="K192" i="1"/>
  <c r="L191" i="1"/>
  <c r="K191" i="1"/>
  <c r="L190" i="1"/>
  <c r="K190" i="1"/>
  <c r="L189" i="1"/>
  <c r="K189" i="1"/>
  <c r="L188" i="1"/>
  <c r="K188" i="1"/>
  <c r="L187" i="1"/>
  <c r="K187" i="1"/>
  <c r="L186" i="1"/>
  <c r="K186" i="1"/>
  <c r="L185" i="1"/>
  <c r="K185" i="1"/>
  <c r="L184" i="1"/>
  <c r="K184" i="1"/>
  <c r="L183" i="1"/>
  <c r="K183" i="1"/>
  <c r="L182" i="1"/>
  <c r="K182" i="1"/>
  <c r="L181" i="1"/>
  <c r="K181" i="1"/>
  <c r="L180" i="1"/>
  <c r="K180" i="1"/>
  <c r="L179" i="1"/>
  <c r="K179" i="1"/>
  <c r="L178" i="1"/>
  <c r="K178" i="1"/>
  <c r="L177" i="1"/>
  <c r="K177" i="1"/>
  <c r="L176" i="1"/>
  <c r="K176" i="1"/>
  <c r="L175" i="1"/>
  <c r="K175" i="1"/>
  <c r="L174" i="1"/>
  <c r="K174" i="1"/>
  <c r="L173" i="1"/>
  <c r="K173" i="1"/>
  <c r="L172" i="1"/>
  <c r="K172" i="1"/>
  <c r="L171" i="1"/>
  <c r="K171" i="1"/>
  <c r="L170" i="1"/>
  <c r="K170" i="1"/>
  <c r="L169" i="1"/>
  <c r="K169" i="1"/>
  <c r="L168" i="1"/>
  <c r="K168" i="1"/>
  <c r="L167" i="1"/>
  <c r="K167" i="1"/>
  <c r="L166" i="1"/>
  <c r="K166" i="1"/>
  <c r="L165" i="1"/>
  <c r="K165" i="1"/>
  <c r="L164" i="1"/>
  <c r="K164" i="1"/>
  <c r="L163" i="1"/>
  <c r="K163" i="1"/>
  <c r="L162" i="1"/>
  <c r="K162" i="1"/>
  <c r="L161" i="1"/>
  <c r="K161" i="1"/>
  <c r="L160" i="1"/>
  <c r="K160" i="1"/>
  <c r="L159" i="1"/>
  <c r="K159" i="1"/>
  <c r="L158" i="1"/>
  <c r="K158" i="1"/>
  <c r="L157" i="1"/>
  <c r="K157" i="1"/>
  <c r="L156" i="1"/>
  <c r="K156" i="1"/>
  <c r="L155" i="1"/>
  <c r="K155" i="1"/>
  <c r="L154" i="1"/>
  <c r="K154" i="1"/>
  <c r="L153" i="1"/>
  <c r="K153" i="1"/>
  <c r="L152" i="1"/>
  <c r="K152" i="1"/>
  <c r="L151" i="1"/>
  <c r="K151" i="1"/>
  <c r="L150" i="1"/>
  <c r="K150" i="1"/>
  <c r="L149" i="1"/>
  <c r="K149" i="1"/>
  <c r="L148" i="1"/>
  <c r="K148" i="1"/>
  <c r="L147" i="1"/>
  <c r="K147" i="1"/>
  <c r="L146" i="1"/>
  <c r="K146" i="1"/>
  <c r="L145" i="1"/>
  <c r="K145" i="1"/>
  <c r="L144" i="1"/>
  <c r="K144" i="1"/>
  <c r="L143" i="1"/>
  <c r="K143" i="1"/>
  <c r="L142" i="1"/>
  <c r="K142" i="1"/>
  <c r="L141" i="1"/>
  <c r="K141" i="1"/>
  <c r="L140" i="1"/>
  <c r="K140" i="1"/>
  <c r="L139" i="1"/>
  <c r="K139" i="1"/>
  <c r="L138" i="1"/>
  <c r="K138" i="1"/>
  <c r="L137" i="1"/>
  <c r="K137" i="1"/>
  <c r="L136" i="1"/>
  <c r="K136" i="1"/>
  <c r="L135" i="1"/>
  <c r="K135" i="1"/>
  <c r="L134" i="1"/>
  <c r="K134" i="1"/>
  <c r="L133" i="1"/>
  <c r="K133" i="1"/>
  <c r="L132" i="1"/>
  <c r="K132" i="1"/>
  <c r="L131" i="1"/>
  <c r="K131" i="1"/>
  <c r="L130" i="1"/>
  <c r="K130" i="1"/>
  <c r="L129" i="1"/>
  <c r="K129" i="1"/>
  <c r="L128" i="1"/>
  <c r="K128" i="1"/>
  <c r="L127" i="1"/>
  <c r="K127" i="1"/>
  <c r="L126" i="1"/>
  <c r="K126" i="1"/>
  <c r="L125" i="1"/>
  <c r="K125" i="1"/>
  <c r="L124" i="1"/>
  <c r="K124" i="1"/>
  <c r="L123" i="1"/>
  <c r="K123" i="1"/>
  <c r="L122" i="1"/>
  <c r="K122" i="1"/>
  <c r="L121" i="1"/>
  <c r="K121" i="1"/>
  <c r="L120" i="1"/>
  <c r="K120" i="1"/>
  <c r="L119" i="1"/>
  <c r="K119" i="1"/>
  <c r="L118" i="1"/>
  <c r="K118" i="1"/>
  <c r="L117" i="1"/>
  <c r="K117" i="1"/>
  <c r="L116" i="1"/>
  <c r="K116" i="1"/>
  <c r="L115" i="1"/>
  <c r="K115" i="1"/>
  <c r="L114" i="1"/>
  <c r="K114" i="1"/>
  <c r="L113" i="1"/>
  <c r="K113" i="1"/>
  <c r="L112" i="1"/>
  <c r="K112" i="1"/>
  <c r="L111" i="1"/>
  <c r="K111" i="1"/>
  <c r="L110" i="1"/>
  <c r="K110" i="1"/>
  <c r="L109" i="1"/>
  <c r="K109" i="1"/>
  <c r="L108" i="1"/>
  <c r="K108" i="1"/>
  <c r="L107" i="1"/>
  <c r="K107" i="1"/>
  <c r="L106" i="1"/>
  <c r="K106" i="1"/>
  <c r="L105" i="1"/>
  <c r="K105" i="1"/>
  <c r="L104" i="1"/>
  <c r="K104" i="1"/>
  <c r="L103" i="1"/>
  <c r="K103" i="1"/>
  <c r="L102" i="1"/>
  <c r="K102" i="1"/>
  <c r="L101" i="1"/>
  <c r="K101" i="1"/>
  <c r="L100" i="1"/>
  <c r="K100" i="1"/>
  <c r="L99" i="1"/>
  <c r="K99" i="1"/>
  <c r="L98" i="1"/>
  <c r="K98" i="1"/>
  <c r="L97" i="1"/>
  <c r="K97" i="1"/>
  <c r="L96" i="1"/>
  <c r="K96" i="1"/>
  <c r="L95" i="1"/>
  <c r="K95" i="1"/>
  <c r="L94" i="1"/>
  <c r="K94" i="1"/>
  <c r="L93" i="1"/>
  <c r="K93" i="1"/>
  <c r="L92" i="1"/>
  <c r="K92" i="1"/>
  <c r="L91" i="1"/>
  <c r="K91" i="1"/>
  <c r="L90" i="1"/>
  <c r="K90" i="1"/>
  <c r="L89" i="1"/>
  <c r="K89" i="1"/>
  <c r="L88" i="1"/>
  <c r="K88" i="1"/>
  <c r="L87" i="1"/>
  <c r="K87" i="1"/>
  <c r="L86" i="1"/>
  <c r="K86" i="1"/>
  <c r="L85" i="1"/>
  <c r="K85" i="1"/>
  <c r="L84" i="1"/>
  <c r="K84" i="1"/>
  <c r="L83" i="1"/>
  <c r="K83" i="1"/>
  <c r="L82" i="1"/>
  <c r="K82" i="1"/>
  <c r="L81" i="1"/>
  <c r="K81" i="1"/>
  <c r="L80" i="1"/>
  <c r="K80" i="1"/>
  <c r="L79" i="1"/>
  <c r="K79" i="1"/>
  <c r="L78" i="1"/>
  <c r="K78" i="1"/>
  <c r="L77" i="1"/>
  <c r="K77" i="1"/>
  <c r="L76" i="1"/>
  <c r="K76" i="1"/>
  <c r="L75" i="1"/>
  <c r="K75" i="1"/>
  <c r="L74" i="1"/>
  <c r="K74" i="1"/>
  <c r="L73" i="1"/>
  <c r="K73" i="1"/>
  <c r="L72" i="1"/>
  <c r="K72" i="1"/>
  <c r="L71" i="1"/>
  <c r="K71" i="1"/>
  <c r="L70" i="1"/>
  <c r="K70" i="1"/>
  <c r="L69" i="1"/>
  <c r="K69" i="1"/>
  <c r="L68" i="1"/>
  <c r="K68" i="1"/>
  <c r="L67" i="1"/>
  <c r="K67" i="1"/>
  <c r="L66" i="1"/>
  <c r="K66" i="1"/>
  <c r="L65" i="1"/>
  <c r="K65" i="1"/>
  <c r="L64" i="1"/>
  <c r="K64" i="1"/>
  <c r="L63" i="1"/>
  <c r="K63" i="1"/>
  <c r="L62" i="1"/>
  <c r="K62" i="1"/>
  <c r="L61" i="1"/>
  <c r="K61" i="1"/>
  <c r="L60" i="1"/>
  <c r="K60" i="1"/>
  <c r="L59" i="1"/>
  <c r="K59" i="1"/>
  <c r="L58" i="1"/>
  <c r="K58" i="1"/>
  <c r="L57" i="1"/>
  <c r="K57" i="1"/>
  <c r="L56" i="1"/>
  <c r="K56" i="1"/>
  <c r="L55" i="1"/>
  <c r="K55" i="1"/>
  <c r="L54" i="1"/>
  <c r="K54" i="1"/>
  <c r="L53" i="1"/>
  <c r="K53" i="1"/>
  <c r="L52" i="1"/>
  <c r="K52" i="1"/>
  <c r="L51" i="1"/>
  <c r="K51" i="1"/>
  <c r="L50" i="1"/>
  <c r="K50" i="1"/>
  <c r="L49" i="1"/>
  <c r="K49" i="1"/>
  <c r="L48" i="1"/>
  <c r="K48" i="1"/>
  <c r="L47" i="1"/>
  <c r="K47" i="1"/>
  <c r="L46" i="1"/>
  <c r="K46" i="1"/>
  <c r="L45" i="1"/>
  <c r="K45" i="1"/>
  <c r="L44" i="1"/>
  <c r="K44" i="1"/>
  <c r="L43" i="1"/>
  <c r="K43" i="1"/>
  <c r="L42" i="1"/>
  <c r="K42" i="1"/>
  <c r="L41" i="1"/>
  <c r="K41" i="1"/>
  <c r="L40" i="1"/>
  <c r="K40" i="1"/>
  <c r="L39" i="1"/>
  <c r="K39" i="1"/>
  <c r="L38" i="1"/>
  <c r="K38" i="1"/>
  <c r="L37" i="1"/>
  <c r="K37" i="1"/>
  <c r="L36" i="1"/>
  <c r="K36" i="1"/>
  <c r="L35" i="1"/>
  <c r="K35" i="1"/>
  <c r="L34" i="1"/>
  <c r="K34" i="1"/>
  <c r="L33" i="1"/>
  <c r="K33" i="1"/>
  <c r="L32" i="1"/>
  <c r="K32" i="1"/>
  <c r="L31" i="1"/>
  <c r="K31" i="1"/>
  <c r="L30" i="1"/>
  <c r="K30" i="1"/>
  <c r="L29" i="1"/>
  <c r="K29" i="1"/>
  <c r="L28" i="1"/>
  <c r="K28" i="1"/>
  <c r="L27" i="1"/>
  <c r="K27" i="1"/>
  <c r="L26" i="1"/>
  <c r="K26" i="1"/>
  <c r="L25" i="1"/>
  <c r="K25" i="1"/>
  <c r="L24" i="1"/>
  <c r="K24" i="1"/>
  <c r="L23" i="1"/>
  <c r="K23" i="1"/>
  <c r="L22" i="1"/>
  <c r="K22" i="1"/>
  <c r="L21" i="1"/>
  <c r="K21" i="1"/>
  <c r="L20" i="1"/>
  <c r="K20" i="1"/>
  <c r="L19" i="1"/>
  <c r="K19" i="1"/>
  <c r="L18" i="1"/>
  <c r="K18" i="1"/>
  <c r="L17" i="1"/>
  <c r="K17" i="1"/>
  <c r="L16" i="1"/>
  <c r="K16" i="1"/>
  <c r="L15" i="1"/>
  <c r="K15" i="1"/>
  <c r="L14" i="1"/>
  <c r="K14" i="1"/>
  <c r="L13" i="1"/>
  <c r="K13" i="1"/>
  <c r="L12" i="1"/>
  <c r="K12" i="1"/>
  <c r="L11" i="1"/>
  <c r="K11" i="1"/>
  <c r="L10" i="1"/>
  <c r="K10" i="1"/>
  <c r="L9" i="1"/>
  <c r="K9" i="1"/>
  <c r="L8" i="1"/>
  <c r="K8" i="1"/>
  <c r="L7" i="1"/>
  <c r="K7" i="1"/>
  <c r="L6" i="1"/>
  <c r="K6" i="1"/>
  <c r="L5" i="1"/>
  <c r="K5" i="1"/>
  <c r="L4" i="1"/>
  <c r="K4" i="1"/>
  <c r="L3" i="1"/>
  <c r="K3" i="1"/>
  <c r="L2" i="1"/>
  <c r="K2" i="1"/>
  <c r="B6" i="4" l="1"/>
</calcChain>
</file>

<file path=xl/sharedStrings.xml><?xml version="1.0" encoding="utf-8"?>
<sst xmlns="http://schemas.openxmlformats.org/spreadsheetml/2006/main" count="3144" uniqueCount="598">
  <si>
    <t>ticket_id</t>
  </si>
  <si>
    <t>created_date</t>
  </si>
  <si>
    <t>resolved_date</t>
  </si>
  <si>
    <t>category</t>
  </si>
  <si>
    <t>channel</t>
  </si>
  <si>
    <t>priority</t>
  </si>
  <si>
    <t>status</t>
  </si>
  <si>
    <t>agent</t>
  </si>
  <si>
    <t>resolution_time_hours</t>
  </si>
  <si>
    <t>customer_satisfaction</t>
  </si>
  <si>
    <t>TKT-0001</t>
  </si>
  <si>
    <t>Refund</t>
  </si>
  <si>
    <t>Email</t>
  </si>
  <si>
    <t>Low</t>
  </si>
  <si>
    <t>Resolved</t>
  </si>
  <si>
    <t>Priya Sharma</t>
  </si>
  <si>
    <t>TKT-0002</t>
  </si>
  <si>
    <t>Delivery</t>
  </si>
  <si>
    <t>Chat</t>
  </si>
  <si>
    <t>Urgent</t>
  </si>
  <si>
    <t>James Wilson</t>
  </si>
  <si>
    <t>TKT-0003</t>
  </si>
  <si>
    <t>Social Media</t>
  </si>
  <si>
    <t>High</t>
  </si>
  <si>
    <t>Maria Garcia</t>
  </si>
  <si>
    <t>TKT-0004</t>
  </si>
  <si>
    <t>Phone</t>
  </si>
  <si>
    <t>TKT-0005</t>
  </si>
  <si>
    <t>Account</t>
  </si>
  <si>
    <t>Escalated</t>
  </si>
  <si>
    <t>Omar Hassan</t>
  </si>
  <si>
    <t>TKT-0006</t>
  </si>
  <si>
    <t>Technical Issue</t>
  </si>
  <si>
    <t>Medium</t>
  </si>
  <si>
    <t>Daniel Lee</t>
  </si>
  <si>
    <t>TKT-0007</t>
  </si>
  <si>
    <t>Payment</t>
  </si>
  <si>
    <t>Fatima Ali</t>
  </si>
  <si>
    <t>TKT-0008</t>
  </si>
  <si>
    <t>Aisha Khan</t>
  </si>
  <si>
    <t>TKT-0009</t>
  </si>
  <si>
    <t>Sarah Ahmed</t>
  </si>
  <si>
    <t>TKT-0010</t>
  </si>
  <si>
    <t>TKT-0011</t>
  </si>
  <si>
    <t>TKT-0012</t>
  </si>
  <si>
    <t>TKT-0013</t>
  </si>
  <si>
    <t>TKT-0014</t>
  </si>
  <si>
    <t>Product Information</t>
  </si>
  <si>
    <t>TKT-0015</t>
  </si>
  <si>
    <t>TKT-0016</t>
  </si>
  <si>
    <t>TKT-0017</t>
  </si>
  <si>
    <t>TKT-0018</t>
  </si>
  <si>
    <t>delivery</t>
  </si>
  <si>
    <t>TKT-0019</t>
  </si>
  <si>
    <t>TKT-0020</t>
  </si>
  <si>
    <t>TKT-0021</t>
  </si>
  <si>
    <t>TKT-0022</t>
  </si>
  <si>
    <t>TKT-0023</t>
  </si>
  <si>
    <t>TKT-0024</t>
  </si>
  <si>
    <t>Pending</t>
  </si>
  <si>
    <t>TKT-0025</t>
  </si>
  <si>
    <t>TKT-0026</t>
  </si>
  <si>
    <t>TKT-0027</t>
  </si>
  <si>
    <t>TKT-0028</t>
  </si>
  <si>
    <t>TKT-0029</t>
  </si>
  <si>
    <t>TKT-0030</t>
  </si>
  <si>
    <t>TKT-0031</t>
  </si>
  <si>
    <t>TKT-0032</t>
  </si>
  <si>
    <t>TKT-0033</t>
  </si>
  <si>
    <t>TKT-0034</t>
  </si>
  <si>
    <t>TKT-0035</t>
  </si>
  <si>
    <t>TKT-0036</t>
  </si>
  <si>
    <t>TKT-0037</t>
  </si>
  <si>
    <t>TKT-0038</t>
  </si>
  <si>
    <t>TKT-0039</t>
  </si>
  <si>
    <t>TKT-0040</t>
  </si>
  <si>
    <t>TKT-0041</t>
  </si>
  <si>
    <t>TKT-0042</t>
  </si>
  <si>
    <t>TKT-0043</t>
  </si>
  <si>
    <t>TKT-0044</t>
  </si>
  <si>
    <t>TKT-0045</t>
  </si>
  <si>
    <t>TKT-0046</t>
  </si>
  <si>
    <t>TKT-0047</t>
  </si>
  <si>
    <t>TKT-0048</t>
  </si>
  <si>
    <t>TKT-0049</t>
  </si>
  <si>
    <t>TKT-0050</t>
  </si>
  <si>
    <t>TKT-0051</t>
  </si>
  <si>
    <t>TKT-0052</t>
  </si>
  <si>
    <t>TKT-0053</t>
  </si>
  <si>
    <t>TKT-0054</t>
  </si>
  <si>
    <t>TKT-0055</t>
  </si>
  <si>
    <t>TKT-0056</t>
  </si>
  <si>
    <t>TKT-0057</t>
  </si>
  <si>
    <t>TKT-0058</t>
  </si>
  <si>
    <t>TKT-0059</t>
  </si>
  <si>
    <t>TKT-0060</t>
  </si>
  <si>
    <t>TKT-0061</t>
  </si>
  <si>
    <t>TKT-0062</t>
  </si>
  <si>
    <t>TKT-0063</t>
  </si>
  <si>
    <t>TKT-0064</t>
  </si>
  <si>
    <t>TKT-0065</t>
  </si>
  <si>
    <t>TKT-0066</t>
  </si>
  <si>
    <t>TKT-0067</t>
  </si>
  <si>
    <t>TKT-0068</t>
  </si>
  <si>
    <t>TKT-0069</t>
  </si>
  <si>
    <t>TKT-0070</t>
  </si>
  <si>
    <t>TKT-0071</t>
  </si>
  <si>
    <t>TKT-0072</t>
  </si>
  <si>
    <t>TKT-0073</t>
  </si>
  <si>
    <t>TKT-0074</t>
  </si>
  <si>
    <t>TKT-0075</t>
  </si>
  <si>
    <t>TKT-0076</t>
  </si>
  <si>
    <t>TKT-0077</t>
  </si>
  <si>
    <t>TKT-0078</t>
  </si>
  <si>
    <t>TKT-0079</t>
  </si>
  <si>
    <t>TKT-0080</t>
  </si>
  <si>
    <t>TKT-0081</t>
  </si>
  <si>
    <t>TKT-0082</t>
  </si>
  <si>
    <t>TKT-0083</t>
  </si>
  <si>
    <t>TKT-0084</t>
  </si>
  <si>
    <t>email</t>
  </si>
  <si>
    <t>TKT-0085</t>
  </si>
  <si>
    <t>TKT-0086</t>
  </si>
  <si>
    <t>TKT-0087</t>
  </si>
  <si>
    <t>TKT-0088</t>
  </si>
  <si>
    <t>TKT-0089</t>
  </si>
  <si>
    <t>TKT-0090</t>
  </si>
  <si>
    <t>TKT-0091</t>
  </si>
  <si>
    <t>TKT-0092</t>
  </si>
  <si>
    <t>TKT-0093</t>
  </si>
  <si>
    <t>TKT-0094</t>
  </si>
  <si>
    <t>TKT-0095</t>
  </si>
  <si>
    <t>TKT-0096</t>
  </si>
  <si>
    <t>TKT-0097</t>
  </si>
  <si>
    <t>TKT-0098</t>
  </si>
  <si>
    <t>TKT-0099</t>
  </si>
  <si>
    <t>TKT-0100</t>
  </si>
  <si>
    <t>TKT-0101</t>
  </si>
  <si>
    <t>TKT-0102</t>
  </si>
  <si>
    <t>TKT-0103</t>
  </si>
  <si>
    <t>TKT-0104</t>
  </si>
  <si>
    <t>TKT-0105</t>
  </si>
  <si>
    <t>TKT-0106</t>
  </si>
  <si>
    <t>TKT-0107</t>
  </si>
  <si>
    <t>TKT-0108</t>
  </si>
  <si>
    <t>TKT-0109</t>
  </si>
  <si>
    <t>TKT-0110</t>
  </si>
  <si>
    <t>TKT-0111</t>
  </si>
  <si>
    <t>TKT-0112</t>
  </si>
  <si>
    <t>TKT-0113</t>
  </si>
  <si>
    <t>TKT-0114</t>
  </si>
  <si>
    <t>TKT-0115</t>
  </si>
  <si>
    <t>TKT-0116</t>
  </si>
  <si>
    <t>TKT-0117</t>
  </si>
  <si>
    <t>TKT-0118</t>
  </si>
  <si>
    <t>TKT-0119</t>
  </si>
  <si>
    <t>TKT-0120</t>
  </si>
  <si>
    <t>TKT-0121</t>
  </si>
  <si>
    <t>TKT-0122</t>
  </si>
  <si>
    <t>TKT-0123</t>
  </si>
  <si>
    <t>TKT-0124</t>
  </si>
  <si>
    <t>TKT-0125</t>
  </si>
  <si>
    <t>TKT-0126</t>
  </si>
  <si>
    <t>TKT-0127</t>
  </si>
  <si>
    <t>TKT-0128</t>
  </si>
  <si>
    <t>TKT-0129</t>
  </si>
  <si>
    <t>TKT-0130</t>
  </si>
  <si>
    <t>TKT-0131</t>
  </si>
  <si>
    <t>TKT-0132</t>
  </si>
  <si>
    <t>TKT-0133</t>
  </si>
  <si>
    <t>TKT-0134</t>
  </si>
  <si>
    <t>TKT-0135</t>
  </si>
  <si>
    <t>TKT-0136</t>
  </si>
  <si>
    <t>TKT-0137</t>
  </si>
  <si>
    <t>TKT-0138</t>
  </si>
  <si>
    <t>TKT-0139</t>
  </si>
  <si>
    <t>TKT-0140</t>
  </si>
  <si>
    <t>TKT-0141</t>
  </si>
  <si>
    <t>TKT-0142</t>
  </si>
  <si>
    <t>TKT-0143</t>
  </si>
  <si>
    <t>TKT-0144</t>
  </si>
  <si>
    <t>TKT-0145</t>
  </si>
  <si>
    <t>TKT-0146</t>
  </si>
  <si>
    <t>TKT-0147</t>
  </si>
  <si>
    <t xml:space="preserve">Payment </t>
  </si>
  <si>
    <t>TKT-0148</t>
  </si>
  <si>
    <t>TKT-0149</t>
  </si>
  <si>
    <t>TKT-0150</t>
  </si>
  <si>
    <t>TKT-0151</t>
  </si>
  <si>
    <t>TKT-0152</t>
  </si>
  <si>
    <t>TKT-0153</t>
  </si>
  <si>
    <t>TKT-0154</t>
  </si>
  <si>
    <t>TKT-0155</t>
  </si>
  <si>
    <t>TKT-0156</t>
  </si>
  <si>
    <t>TKT-0157</t>
  </si>
  <si>
    <t>TKT-0158</t>
  </si>
  <si>
    <t>TKT-0159</t>
  </si>
  <si>
    <t>TKT-0160</t>
  </si>
  <si>
    <t>TKT-0161</t>
  </si>
  <si>
    <t>TKT-0162</t>
  </si>
  <si>
    <t>TKT-0163</t>
  </si>
  <si>
    <t>TKT-0164</t>
  </si>
  <si>
    <t>TKT-0165</t>
  </si>
  <si>
    <t>TKT-0166</t>
  </si>
  <si>
    <t>TKT-0167</t>
  </si>
  <si>
    <t>TKT-0168</t>
  </si>
  <si>
    <t>TKT-0169</t>
  </si>
  <si>
    <t>TKT-0170</t>
  </si>
  <si>
    <t>TKT-0171</t>
  </si>
  <si>
    <t>TKT-0172</t>
  </si>
  <si>
    <t>TKT-0173</t>
  </si>
  <si>
    <t>TKT-0174</t>
  </si>
  <si>
    <t>TKT-0175</t>
  </si>
  <si>
    <t>TKT-0176</t>
  </si>
  <si>
    <t>TKT-0177</t>
  </si>
  <si>
    <t>TKT-0178</t>
  </si>
  <si>
    <t>TKT-0179</t>
  </si>
  <si>
    <t>TKT-0180</t>
  </si>
  <si>
    <t>TKT-0181</t>
  </si>
  <si>
    <t>TKT-0182</t>
  </si>
  <si>
    <t>TKT-0183</t>
  </si>
  <si>
    <t>TKT-0184</t>
  </si>
  <si>
    <t>TKT-0185</t>
  </si>
  <si>
    <t>TKT-0186</t>
  </si>
  <si>
    <t>TKT-0187</t>
  </si>
  <si>
    <t>TKT-0188</t>
  </si>
  <si>
    <t>TKT-0189</t>
  </si>
  <si>
    <t>TKT-0190</t>
  </si>
  <si>
    <t>TKT-0191</t>
  </si>
  <si>
    <t>TKT-0192</t>
  </si>
  <si>
    <t>TKT-0193</t>
  </si>
  <si>
    <t>TKT-0194</t>
  </si>
  <si>
    <t>TKT-0195</t>
  </si>
  <si>
    <t>TKT-0196</t>
  </si>
  <si>
    <t>TKT-0197</t>
  </si>
  <si>
    <t>TKT-0198</t>
  </si>
  <si>
    <t>TKT-0199</t>
  </si>
  <si>
    <t>TKT-0200</t>
  </si>
  <si>
    <t>TKT-0201</t>
  </si>
  <si>
    <t>TKT-0202</t>
  </si>
  <si>
    <t>TKT-0203</t>
  </si>
  <si>
    <t>TKT-0204</t>
  </si>
  <si>
    <t>TKT-0205</t>
  </si>
  <si>
    <t>TKT-0206</t>
  </si>
  <si>
    <t>TKT-0207</t>
  </si>
  <si>
    <t>TKT-0208</t>
  </si>
  <si>
    <t>TKT-0209</t>
  </si>
  <si>
    <t>TKT-0210</t>
  </si>
  <si>
    <t>TKT-0211</t>
  </si>
  <si>
    <t>TKT-0212</t>
  </si>
  <si>
    <t>TKT-0213</t>
  </si>
  <si>
    <t>TKT-0214</t>
  </si>
  <si>
    <t>TKT-0215</t>
  </si>
  <si>
    <t>TKT-0216</t>
  </si>
  <si>
    <t>TKT-0217</t>
  </si>
  <si>
    <t>TKT-0218</t>
  </si>
  <si>
    <t>TKT-0219</t>
  </si>
  <si>
    <t>TKT-0220</t>
  </si>
  <si>
    <t>TKT-0221</t>
  </si>
  <si>
    <t>TKT-0222</t>
  </si>
  <si>
    <t>TKT-0223</t>
  </si>
  <si>
    <t>TKT-0224</t>
  </si>
  <si>
    <t>TKT-0225</t>
  </si>
  <si>
    <t>TKT-0226</t>
  </si>
  <si>
    <t>TKT-0227</t>
  </si>
  <si>
    <t>TKT-0228</t>
  </si>
  <si>
    <t>TKT-0229</t>
  </si>
  <si>
    <t>TKT-0230</t>
  </si>
  <si>
    <t>TKT-0231</t>
  </si>
  <si>
    <t>TKT-0232</t>
  </si>
  <si>
    <t xml:space="preserve"> Phone</t>
  </si>
  <si>
    <t>TKT-0233</t>
  </si>
  <si>
    <t>TKT-0234</t>
  </si>
  <si>
    <t>TKT-0235</t>
  </si>
  <si>
    <t>TKT-0236</t>
  </si>
  <si>
    <t>TKT-0237</t>
  </si>
  <si>
    <t>TKT-0238</t>
  </si>
  <si>
    <t>TKT-0239</t>
  </si>
  <si>
    <t>TKT-0240</t>
  </si>
  <si>
    <t>TKT-0241</t>
  </si>
  <si>
    <t>TKT-0242</t>
  </si>
  <si>
    <t>TKT-0243</t>
  </si>
  <si>
    <t>TKT-0244</t>
  </si>
  <si>
    <t>TKT-0245</t>
  </si>
  <si>
    <t>TKT-0246</t>
  </si>
  <si>
    <t>TKT-0247</t>
  </si>
  <si>
    <t>TKT-0248</t>
  </si>
  <si>
    <t>TKT-0249</t>
  </si>
  <si>
    <t>TKT-0250</t>
  </si>
  <si>
    <t>TKT-0251</t>
  </si>
  <si>
    <t>TKT-0252</t>
  </si>
  <si>
    <t>TKT-0253</t>
  </si>
  <si>
    <t>TKT-0254</t>
  </si>
  <si>
    <t>TKT-0255</t>
  </si>
  <si>
    <t>TKT-0256</t>
  </si>
  <si>
    <t>TKT-0257</t>
  </si>
  <si>
    <t>TKT-0258</t>
  </si>
  <si>
    <t>TKT-0259</t>
  </si>
  <si>
    <t>TKT-0260</t>
  </si>
  <si>
    <t>TKT-0261</t>
  </si>
  <si>
    <t>TKT-0262</t>
  </si>
  <si>
    <t>TKT-0263</t>
  </si>
  <si>
    <t>TKT-0264</t>
  </si>
  <si>
    <t>TKT-0265</t>
  </si>
  <si>
    <t>TKT-0266</t>
  </si>
  <si>
    <t>TKT-0267</t>
  </si>
  <si>
    <t>TKT-0268</t>
  </si>
  <si>
    <t>TKT-0269</t>
  </si>
  <si>
    <t>TKT-0270</t>
  </si>
  <si>
    <t>TKT-0271</t>
  </si>
  <si>
    <t>TKT-0272</t>
  </si>
  <si>
    <t>TKT-0273</t>
  </si>
  <si>
    <t>TKT-0274</t>
  </si>
  <si>
    <t>TKT-0275</t>
  </si>
  <si>
    <t>TKT-0276</t>
  </si>
  <si>
    <t>TKT-0277</t>
  </si>
  <si>
    <t>TKT-0278</t>
  </si>
  <si>
    <t>TKT-0279</t>
  </si>
  <si>
    <t>TKT-0280</t>
  </si>
  <si>
    <t>TKT-0281</t>
  </si>
  <si>
    <t>TKT-0282</t>
  </si>
  <si>
    <t>TKT-0283</t>
  </si>
  <si>
    <t>TKT-0284</t>
  </si>
  <si>
    <t>TKT-0285</t>
  </si>
  <si>
    <t>TKT-0286</t>
  </si>
  <si>
    <t>TKT-0287</t>
  </si>
  <si>
    <t>TKT-0288</t>
  </si>
  <si>
    <t>TKT-0289</t>
  </si>
  <si>
    <t>TKT-0290</t>
  </si>
  <si>
    <t>TKT-0291</t>
  </si>
  <si>
    <t>TKT-0292</t>
  </si>
  <si>
    <t>TKT-0293</t>
  </si>
  <si>
    <t>TKT-0294</t>
  </si>
  <si>
    <t>TKT-0295</t>
  </si>
  <si>
    <t>TKT-0296</t>
  </si>
  <si>
    <t>TKT-0297</t>
  </si>
  <si>
    <t>TKT-0298</t>
  </si>
  <si>
    <t>TKT-0299</t>
  </si>
  <si>
    <t>TKT-0300</t>
  </si>
  <si>
    <t>TKT-0301</t>
  </si>
  <si>
    <t>TKT-0302</t>
  </si>
  <si>
    <t>TKT-0303</t>
  </si>
  <si>
    <t>TKT-0304</t>
  </si>
  <si>
    <t>TKT-0305</t>
  </si>
  <si>
    <t>TKT-0306</t>
  </si>
  <si>
    <t>TKT-0307</t>
  </si>
  <si>
    <t>TKT-0308</t>
  </si>
  <si>
    <t>TKT-0309</t>
  </si>
  <si>
    <t>TKT-0310</t>
  </si>
  <si>
    <t>TKT-0311</t>
  </si>
  <si>
    <t>TKT-0312</t>
  </si>
  <si>
    <t>TKT-0313</t>
  </si>
  <si>
    <t>TKT-0314</t>
  </si>
  <si>
    <t>TKT-0315</t>
  </si>
  <si>
    <t>TKT-0316</t>
  </si>
  <si>
    <t>TKT-0317</t>
  </si>
  <si>
    <t>TKT-0318</t>
  </si>
  <si>
    <t>TKT-0319</t>
  </si>
  <si>
    <t>TKT-0320</t>
  </si>
  <si>
    <t>TKT-0321</t>
  </si>
  <si>
    <t>TKT-0322</t>
  </si>
  <si>
    <t>TKT-0323</t>
  </si>
  <si>
    <t>TKT-0324</t>
  </si>
  <si>
    <t>TKT-0325</t>
  </si>
  <si>
    <t>TKT-0326</t>
  </si>
  <si>
    <t>TKT-0327</t>
  </si>
  <si>
    <t>TKT-0328</t>
  </si>
  <si>
    <t>TKT-0329</t>
  </si>
  <si>
    <t>TKT-0330</t>
  </si>
  <si>
    <t>TKT-0331</t>
  </si>
  <si>
    <t>TKT-0332</t>
  </si>
  <si>
    <t>TKT-0333</t>
  </si>
  <si>
    <t>TKT-0334</t>
  </si>
  <si>
    <t>TKT-0335</t>
  </si>
  <si>
    <t>TKT-0336</t>
  </si>
  <si>
    <t>TKT-0337</t>
  </si>
  <si>
    <t>TKT-0338</t>
  </si>
  <si>
    <t>TKT-0339</t>
  </si>
  <si>
    <t>TKT-0340</t>
  </si>
  <si>
    <t>TKT-0341</t>
  </si>
  <si>
    <t>TKT-0342</t>
  </si>
  <si>
    <t>TKT-0343</t>
  </si>
  <si>
    <t>TKT-0344</t>
  </si>
  <si>
    <t>TKT-0345</t>
  </si>
  <si>
    <t>TKT-0346</t>
  </si>
  <si>
    <t>TKT-0347</t>
  </si>
  <si>
    <t>TKT-0348</t>
  </si>
  <si>
    <t>TKT-0349</t>
  </si>
  <si>
    <t>TKT-0350</t>
  </si>
  <si>
    <t>TKT-0351</t>
  </si>
  <si>
    <t>TKT-0352</t>
  </si>
  <si>
    <t>TKT-0353</t>
  </si>
  <si>
    <t>TKT-0354</t>
  </si>
  <si>
    <t>TKT-0355</t>
  </si>
  <si>
    <t>TKT-0356</t>
  </si>
  <si>
    <t>TKT-0357</t>
  </si>
  <si>
    <t>TKT-0358</t>
  </si>
  <si>
    <t>TKT-0359</t>
  </si>
  <si>
    <t>TKT-0360</t>
  </si>
  <si>
    <t>TKT-0361</t>
  </si>
  <si>
    <t>TKT-0362</t>
  </si>
  <si>
    <t>TKT-0363</t>
  </si>
  <si>
    <t>TKT-0364</t>
  </si>
  <si>
    <t>TKT-0365</t>
  </si>
  <si>
    <t>TKT-0366</t>
  </si>
  <si>
    <t>TKT-0367</t>
  </si>
  <si>
    <t>TKT-0368</t>
  </si>
  <si>
    <t>TKT-0369</t>
  </si>
  <si>
    <t>TKT-0370</t>
  </si>
  <si>
    <t>TKT-0371</t>
  </si>
  <si>
    <t>TKT-0372</t>
  </si>
  <si>
    <t>TKT-0373</t>
  </si>
  <si>
    <t>TKT-0374</t>
  </si>
  <si>
    <t>TKT-0375</t>
  </si>
  <si>
    <t>TKT-0376</t>
  </si>
  <si>
    <t>TKT-0377</t>
  </si>
  <si>
    <t>TKT-0378</t>
  </si>
  <si>
    <t>TKT-0379</t>
  </si>
  <si>
    <t>TKT-0380</t>
  </si>
  <si>
    <t>TKT-0381</t>
  </si>
  <si>
    <t>TKT-0382</t>
  </si>
  <si>
    <t>TKT-0383</t>
  </si>
  <si>
    <t>TKT-0384</t>
  </si>
  <si>
    <t>TKT-0385</t>
  </si>
  <si>
    <t>TKT-0386</t>
  </si>
  <si>
    <t>TKT-0387</t>
  </si>
  <si>
    <t>TKT-0388</t>
  </si>
  <si>
    <t>TKT-0389</t>
  </si>
  <si>
    <t>TKT-0390</t>
  </si>
  <si>
    <t>TKT-0391</t>
  </si>
  <si>
    <t>TKT-0392</t>
  </si>
  <si>
    <t>TKT-0393</t>
  </si>
  <si>
    <t>TKT-0394</t>
  </si>
  <si>
    <t>TKT-0395</t>
  </si>
  <si>
    <t>TKT-0396</t>
  </si>
  <si>
    <t>TKT-0397</t>
  </si>
  <si>
    <t>TKT-0398</t>
  </si>
  <si>
    <t>TKT-0399</t>
  </si>
  <si>
    <t>TKT-0400</t>
  </si>
  <si>
    <t>TKT-0401</t>
  </si>
  <si>
    <t>TKT-0402</t>
  </si>
  <si>
    <t>TKT-0403</t>
  </si>
  <si>
    <t>TKT-0404</t>
  </si>
  <si>
    <t>TKT-0405</t>
  </si>
  <si>
    <t>TKT-0406</t>
  </si>
  <si>
    <t>TKT-0407</t>
  </si>
  <si>
    <t>TKT-0408</t>
  </si>
  <si>
    <t>TKT-0409</t>
  </si>
  <si>
    <t>TKT-0410</t>
  </si>
  <si>
    <t>TKT-0411</t>
  </si>
  <si>
    <t>TKT-0412</t>
  </si>
  <si>
    <t>TKT-0413</t>
  </si>
  <si>
    <t>TKT-0414</t>
  </si>
  <si>
    <t>TKT-0415</t>
  </si>
  <si>
    <t>TKT-0416</t>
  </si>
  <si>
    <t>TKT-0417</t>
  </si>
  <si>
    <t>TKT-0418</t>
  </si>
  <si>
    <t>TKT-0419</t>
  </si>
  <si>
    <t>TKT-0420</t>
  </si>
  <si>
    <t>TKT-0421</t>
  </si>
  <si>
    <t>TKT-0422</t>
  </si>
  <si>
    <t>TKT-0423</t>
  </si>
  <si>
    <t>TKT-0424</t>
  </si>
  <si>
    <t>TKT-0425</t>
  </si>
  <si>
    <t>TKT-0426</t>
  </si>
  <si>
    <t>TKT-0427</t>
  </si>
  <si>
    <t>TKT-0428</t>
  </si>
  <si>
    <t>TKT-0429</t>
  </si>
  <si>
    <t>TKT-0430</t>
  </si>
  <si>
    <t>TKT-0431</t>
  </si>
  <si>
    <t>TKT-0432</t>
  </si>
  <si>
    <t>TKT-0433</t>
  </si>
  <si>
    <t>TKT-0434</t>
  </si>
  <si>
    <t>TKT-0435</t>
  </si>
  <si>
    <t>TKT-0436</t>
  </si>
  <si>
    <t>TKT-0437</t>
  </si>
  <si>
    <t>TKT-0438</t>
  </si>
  <si>
    <t>TKT-0439</t>
  </si>
  <si>
    <t>TKT-0440</t>
  </si>
  <si>
    <t>TKT-0441</t>
  </si>
  <si>
    <t>TKT-0442</t>
  </si>
  <si>
    <t>TKT-0443</t>
  </si>
  <si>
    <t>TKT-0444</t>
  </si>
  <si>
    <t>TKT-0445</t>
  </si>
  <si>
    <t>TKT-0446</t>
  </si>
  <si>
    <t>TKT-0447</t>
  </si>
  <si>
    <t>TKT-0448</t>
  </si>
  <si>
    <t>TKT-0449</t>
  </si>
  <si>
    <t>TKT-0450</t>
  </si>
  <si>
    <t>TKT-0451</t>
  </si>
  <si>
    <t>TKT-0452</t>
  </si>
  <si>
    <t>TKT-0453</t>
  </si>
  <si>
    <t>TKT-0454</t>
  </si>
  <si>
    <t>TKT-0455</t>
  </si>
  <si>
    <t>TKT-0456</t>
  </si>
  <si>
    <t>TKT-0457</t>
  </si>
  <si>
    <t>TKT-0458</t>
  </si>
  <si>
    <t>TKT-0459</t>
  </si>
  <si>
    <t>TKT-0460</t>
  </si>
  <si>
    <t>TKT-0461</t>
  </si>
  <si>
    <t>TKT-0462</t>
  </si>
  <si>
    <t>TKT-0463</t>
  </si>
  <si>
    <t>TKT-0464</t>
  </si>
  <si>
    <t>TKT-0465</t>
  </si>
  <si>
    <t>TKT-0466</t>
  </si>
  <si>
    <t>TKT-0467</t>
  </si>
  <si>
    <t>TKT-0468</t>
  </si>
  <si>
    <t>TKT-0469</t>
  </si>
  <si>
    <t>TKT-0470</t>
  </si>
  <si>
    <t>TKT-0471</t>
  </si>
  <si>
    <t>TKT-0472</t>
  </si>
  <si>
    <t>TKT-0473</t>
  </si>
  <si>
    <t>TKT-0474</t>
  </si>
  <si>
    <t>TKT-0475</t>
  </si>
  <si>
    <t>TKT-0476</t>
  </si>
  <si>
    <t>TKT-0477</t>
  </si>
  <si>
    <t>TKT-0478</t>
  </si>
  <si>
    <t>TKT-0479</t>
  </si>
  <si>
    <t>TKT-0480</t>
  </si>
  <si>
    <t>TKT-0481</t>
  </si>
  <si>
    <t>TKT-0482</t>
  </si>
  <si>
    <t>TKT-0483</t>
  </si>
  <si>
    <t>TKT-0484</t>
  </si>
  <si>
    <t>TKT-0485</t>
  </si>
  <si>
    <t>TKT-0486</t>
  </si>
  <si>
    <t>TKT-0487</t>
  </si>
  <si>
    <t>TKT-0488</t>
  </si>
  <si>
    <t>TKT-0489</t>
  </si>
  <si>
    <t>TKT-0490</t>
  </si>
  <si>
    <t>TKT-0491</t>
  </si>
  <si>
    <t>TKT-0492</t>
  </si>
  <si>
    <t>TKT-0493</t>
  </si>
  <si>
    <t>TKT-0494</t>
  </si>
  <si>
    <t>TKT-0495</t>
  </si>
  <si>
    <t>TKT-0496</t>
  </si>
  <si>
    <t>TKT-0497</t>
  </si>
  <si>
    <t>TKT-0498</t>
  </si>
  <si>
    <t>TKT-0499</t>
  </si>
  <si>
    <t>TKT-0500</t>
  </si>
  <si>
    <t>Row Labels</t>
  </si>
  <si>
    <t>Grand Total</t>
  </si>
  <si>
    <t>Count of ticket_id</t>
  </si>
  <si>
    <t>clean_category</t>
  </si>
  <si>
    <t>channel_updated</t>
  </si>
  <si>
    <t>total tickets</t>
  </si>
  <si>
    <t>resolved tickets</t>
  </si>
  <si>
    <t>pending tickets</t>
  </si>
  <si>
    <t>urgent tickets</t>
  </si>
  <si>
    <t>delivery tickets</t>
  </si>
  <si>
    <t>RESOLUTION RATE</t>
  </si>
  <si>
    <t>Urgent and pending tickets</t>
  </si>
  <si>
    <t>Delivery tickets that are resolved</t>
  </si>
  <si>
    <t>Technical issues that are urgent</t>
  </si>
  <si>
    <t>Observation : There are ___26___ urgent pending tickets, which may require immediate attention.</t>
  </si>
  <si>
    <t>Observation</t>
  </si>
  <si>
    <t>The Product Information and Refund categories had the highest number of tickets, with 89 tickets each.</t>
  </si>
  <si>
    <t>Priority analysis</t>
  </si>
  <si>
    <t>category analyisis</t>
  </si>
  <si>
    <t>most tickets</t>
  </si>
  <si>
    <t>%of urgent</t>
  </si>
  <si>
    <t>STATUS ANALYSIS</t>
  </si>
  <si>
    <t>Resolution time analysis</t>
  </si>
  <si>
    <t>Average of resolution_time_hours</t>
  </si>
  <si>
    <t>Highest average resolution time?</t>
  </si>
  <si>
    <t>Lowest average resolution time?</t>
  </si>
  <si>
    <t>Difference?</t>
  </si>
  <si>
    <t>Product information</t>
  </si>
  <si>
    <r>
      <t>Product Information</t>
    </r>
    <r>
      <rPr>
        <sz val="11"/>
        <color theme="1"/>
        <rFont val="Calibri"/>
        <family val="2"/>
        <scheme val="minor"/>
      </rPr>
      <t xml:space="preserve"> had the highest average resolution time at </t>
    </r>
    <r>
      <rPr>
        <b/>
        <sz val="11"/>
        <color theme="1"/>
        <rFont val="Calibri"/>
        <family val="2"/>
        <scheme val="minor"/>
      </rPr>
      <t>38.75 hours</t>
    </r>
    <r>
      <rPr>
        <sz val="11"/>
        <color theme="1"/>
        <rFont val="Calibri"/>
        <family val="2"/>
        <scheme val="minor"/>
      </rPr>
      <t xml:space="preserve">, while </t>
    </r>
    <r>
      <rPr>
        <b/>
        <sz val="11"/>
        <color theme="1"/>
        <rFont val="Calibri"/>
        <family val="2"/>
        <scheme val="minor"/>
      </rPr>
      <t>Refund</t>
    </r>
    <r>
      <rPr>
        <sz val="11"/>
        <color theme="1"/>
        <rFont val="Calibri"/>
        <family val="2"/>
        <scheme val="minor"/>
      </rPr>
      <t xml:space="preserve"> had the lowest at </t>
    </r>
    <r>
      <rPr>
        <b/>
        <sz val="11"/>
        <color theme="1"/>
        <rFont val="Calibri"/>
        <family val="2"/>
        <scheme val="minor"/>
      </rPr>
      <t>31.67 hours</t>
    </r>
    <r>
      <rPr>
        <sz val="11"/>
        <color theme="1"/>
        <rFont val="Calibri"/>
        <family val="2"/>
        <scheme val="minor"/>
      </rPr>
      <t xml:space="preserve">. This may suggest that </t>
    </r>
    <r>
      <rPr>
        <b/>
        <sz val="11"/>
        <color theme="1"/>
        <rFont val="Calibri"/>
        <family val="2"/>
        <scheme val="minor"/>
      </rPr>
      <t>product information issues require more investigation or detailed responses, whereas refund requests follow a more standardized resolution process and can be completed more quickly.</t>
    </r>
  </si>
  <si>
    <t>Customer satisfaction analysis</t>
  </si>
  <si>
    <t>Average of customer_satisfaction</t>
  </si>
  <si>
    <t>Highest satisfaction category</t>
  </si>
  <si>
    <t>Lowest satisfaction category</t>
  </si>
  <si>
    <t>difference</t>
  </si>
  <si>
    <t>PI and TI</t>
  </si>
  <si>
    <t>resolution time and satisfaction comparison</t>
  </si>
  <si>
    <t>Yes, there appears to be a general negative relationship between resolution time and customer satisfaction. Categories with longer average resolution times, such as Product Information (38.75 hours) and Technical Issue (37.44 hours), have lower average satisfaction scores (3.00). In contrast, Account (38.26 hours) and Delivery (33.36 hours) have higher satisfaction scores (3.59 and 3.56 respectively). This suggests that longer resolution times may contribute to lower customer satisfaction, although other factors could also influence customer ratings.</t>
  </si>
  <si>
    <t>Channel analysis</t>
  </si>
  <si>
    <t>% of phone channel</t>
  </si>
  <si>
    <t>Yes, the company should consider investing more resources in the Phone channel because it handles the highest number of customer tickets (27.4% of all tickets). Increasing staffing, training, or support capacity for this channel could reduce response times and improve customer satisfaction. However, the company should also continue monitoring the other channels, as they each handle a substantial share of customer requests.</t>
  </si>
  <si>
    <t>Agent performance</t>
  </si>
  <si>
    <t>Agent handling the most tickets</t>
  </si>
  <si>
    <t>Fastest average resolution time</t>
  </si>
  <si>
    <t>Highest customer satisfaction</t>
  </si>
  <si>
    <t>Fatimah Ali</t>
  </si>
  <si>
    <t>Monthly trends</t>
  </si>
  <si>
    <t>Jan</t>
  </si>
  <si>
    <t>Feb</t>
  </si>
  <si>
    <t>Mar</t>
  </si>
  <si>
    <t>Apr</t>
  </si>
  <si>
    <t>May</t>
  </si>
  <si>
    <t>Jun</t>
  </si>
  <si>
    <t>CUSTOMER SUPPORT DASHBOARD</t>
  </si>
  <si>
    <t>TOTAL TICKETS</t>
  </si>
  <si>
    <t>AVG RESOLUTION TIME</t>
  </si>
  <si>
    <t>AVG CUSTOMER SATISFACTION</t>
  </si>
  <si>
    <t>URGENT TICKETS</t>
  </si>
  <si>
    <t>35.90 Hrs</t>
  </si>
  <si>
    <t>3.22/5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</si>
</sst>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
      <b/>
      <i/>
      <sz val="11"/>
      <color theme="1"/>
      <name val="Calibri"/>
      <family val="2"/>
      <scheme val="minor"/>
    </font>
    <font>
      <b/>
      <sz val="12"/>
      <color rgb="FFFF0000"/>
      <name val="Calibri"/>
      <family val="2"/>
      <scheme val="minor"/>
    </font>
    <font>
      <b/>
      <sz val="14"/>
      <color rgb="FFFF0000"/>
      <name val="Calibri"/>
      <family val="2"/>
      <scheme val="minor"/>
    </font>
    <font>
      <sz val="12"/>
      <color theme="1"/>
      <name val="Calibri"/>
      <family val="2"/>
      <scheme val="minor"/>
    </font>
    <font>
      <b/>
      <sz val="20"/>
      <color theme="0"/>
      <name val="Calibri"/>
      <family val="2"/>
      <scheme val="minor"/>
    </font>
    <font>
      <b/>
      <sz val="12"/>
      <color rgb="FF002060"/>
      <name val="Calibri"/>
      <family val="2"/>
      <scheme val="minor"/>
    </font>
    <font>
      <sz val="12"/>
      <color rgb="FF002060"/>
      <name val="Calibri"/>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3" tint="0.79998168889431442"/>
        <bgColor indexed="64"/>
      </patternFill>
    </fill>
    <fill>
      <patternFill patternType="solid">
        <fgColor theme="2" tint="-9.9978637043366805E-2"/>
        <bgColor indexed="64"/>
      </patternFill>
    </fill>
    <fill>
      <patternFill patternType="solid">
        <fgColor theme="4" tint="-0.249977111117893"/>
        <bgColor indexed="64"/>
      </patternFill>
    </fill>
    <fill>
      <patternFill patternType="solid">
        <fgColor theme="8" tint="0.39997558519241921"/>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dashDot">
        <color theme="2"/>
      </left>
      <right style="dashDot">
        <color theme="2"/>
      </right>
      <top style="dashDot">
        <color theme="2"/>
      </top>
      <bottom style="dashDot">
        <color theme="2"/>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29">
    <xf numFmtId="0" fontId="0" fillId="0" borderId="0" xfId="0"/>
    <xf numFmtId="22" fontId="0" fillId="0" borderId="0" xfId="0" applyNumberFormat="1"/>
    <xf numFmtId="0" fontId="0" fillId="0" borderId="0" xfId="0" pivotButton="1"/>
    <xf numFmtId="0" fontId="0" fillId="0" borderId="0" xfId="0" applyAlignment="1">
      <alignment horizontal="left"/>
    </xf>
    <xf numFmtId="0" fontId="0" fillId="33" borderId="0" xfId="0" applyFill="1"/>
    <xf numFmtId="22" fontId="0" fillId="33" borderId="0" xfId="0" applyNumberFormat="1" applyFill="1"/>
    <xf numFmtId="0" fontId="16" fillId="0" borderId="0" xfId="0" applyFont="1"/>
    <xf numFmtId="0" fontId="18" fillId="0" borderId="0" xfId="0" applyFont="1"/>
    <xf numFmtId="10" fontId="19" fillId="0" borderId="0" xfId="0" applyNumberFormat="1" applyFont="1"/>
    <xf numFmtId="0" fontId="20" fillId="0" borderId="0" xfId="0" applyFont="1"/>
    <xf numFmtId="0" fontId="21" fillId="0" borderId="0" xfId="0" applyFont="1"/>
    <xf numFmtId="9" fontId="0" fillId="0" borderId="0" xfId="42" applyFont="1"/>
    <xf numFmtId="0" fontId="0" fillId="0" borderId="0" xfId="0" applyAlignment="1">
      <alignment horizontal="center"/>
    </xf>
    <xf numFmtId="0" fontId="22" fillId="0" borderId="0" xfId="0" applyFont="1" applyAlignment="1">
      <alignment horizontal="center" wrapText="1"/>
    </xf>
    <xf numFmtId="0" fontId="16" fillId="34" borderId="0" xfId="0" applyFont="1" applyFill="1" applyAlignment="1">
      <alignment wrapText="1"/>
    </xf>
    <xf numFmtId="0" fontId="0" fillId="0" borderId="0" xfId="0" applyAlignment="1">
      <alignment wrapText="1"/>
    </xf>
    <xf numFmtId="49" fontId="0" fillId="0" borderId="0" xfId="0" applyNumberFormat="1" applyAlignment="1">
      <alignment wrapText="1"/>
    </xf>
    <xf numFmtId="49" fontId="0" fillId="34" borderId="0" xfId="0" applyNumberFormat="1" applyFill="1" applyAlignment="1">
      <alignment wrapText="1"/>
    </xf>
    <xf numFmtId="10" fontId="0" fillId="0" borderId="0" xfId="42" applyNumberFormat="1" applyFont="1"/>
    <xf numFmtId="0" fontId="0" fillId="35" borderId="0" xfId="0" applyFill="1" applyAlignment="1">
      <alignment wrapText="1"/>
    </xf>
    <xf numFmtId="0" fontId="0" fillId="36" borderId="0" xfId="0" applyFill="1" applyAlignment="1">
      <alignment horizontal="center"/>
    </xf>
    <xf numFmtId="0" fontId="23" fillId="36" borderId="0" xfId="0" applyFont="1" applyFill="1" applyAlignment="1">
      <alignment horizontal="center"/>
    </xf>
    <xf numFmtId="0" fontId="0" fillId="0" borderId="0" xfId="0" applyAlignment="1"/>
    <xf numFmtId="0" fontId="0" fillId="0" borderId="0" xfId="0" applyBorder="1"/>
    <xf numFmtId="0" fontId="24" fillId="37" borderId="10" xfId="0" applyFont="1" applyFill="1" applyBorder="1" applyAlignment="1">
      <alignment horizontal="center"/>
    </xf>
    <xf numFmtId="0" fontId="25" fillId="37" borderId="10" xfId="0" applyFont="1" applyFill="1" applyBorder="1" applyAlignment="1">
      <alignment horizontal="center"/>
    </xf>
    <xf numFmtId="10" fontId="24" fillId="37" borderId="10" xfId="42" applyNumberFormat="1" applyFont="1" applyFill="1" applyBorder="1" applyAlignment="1">
      <alignment horizontal="center"/>
    </xf>
    <xf numFmtId="0" fontId="18" fillId="0" borderId="0" xfId="0" applyFont="1" applyAlignment="1"/>
    <xf numFmtId="2" fontId="24" fillId="37" borderId="10" xfId="0" applyNumberFormat="1" applyFont="1" applyFill="1" applyBorder="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[customer_support_tickets_lesson1.xlsx]Category analysis with PivotTab!PivotTable3</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TICKETS BY CATEGORY</a:t>
            </a:r>
          </a:p>
        </c:rich>
      </c:tx>
      <c:layout>
        <c:manualLayout>
          <c:xMode val="edge"/>
          <c:yMode val="edge"/>
          <c:x val="0.36388188976377955"/>
          <c:y val="5.4534849810440364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'Category analysis with PivotTab'!$B$3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'Category analysis with PivotTab'!$A$4:$A$11</c:f>
              <c:strCache>
                <c:ptCount val="7"/>
                <c:pt idx="1">
                  <c:v>Account</c:v>
                </c:pt>
                <c:pt idx="2">
                  <c:v>Delivery</c:v>
                </c:pt>
                <c:pt idx="3">
                  <c:v>Payment</c:v>
                </c:pt>
                <c:pt idx="4">
                  <c:v>Product Information</c:v>
                </c:pt>
                <c:pt idx="5">
                  <c:v>Refund</c:v>
                </c:pt>
                <c:pt idx="6">
                  <c:v>Technical Issue</c:v>
                </c:pt>
              </c:strCache>
            </c:strRef>
          </c:cat>
          <c:val>
            <c:numRef>
              <c:f>'Category analysis with PivotTab'!$B$4:$B$11</c:f>
              <c:numCache>
                <c:formatCode>General</c:formatCode>
                <c:ptCount val="7"/>
                <c:pt idx="0">
                  <c:v>1</c:v>
                </c:pt>
                <c:pt idx="1">
                  <c:v>78</c:v>
                </c:pt>
                <c:pt idx="2">
                  <c:v>79</c:v>
                </c:pt>
                <c:pt idx="3">
                  <c:v>88</c:v>
                </c:pt>
                <c:pt idx="4">
                  <c:v>89</c:v>
                </c:pt>
                <c:pt idx="5">
                  <c:v>89</c:v>
                </c:pt>
                <c:pt idx="6">
                  <c:v>76</c:v>
                </c:pt>
              </c:numCache>
            </c:numRef>
          </c:val>
          <c:extLst>
            <c:ext xmlns:c16="http://schemas.microsoft.com/office/drawing/2014/chart" uri="{C3380CC4-5D6E-409C-BE32-E72D297353CC}">
              <c16:uniqueId val="{00000000-2926-40EF-AC13-E5706DDDFD5C}"/>
            </c:ext>
          </c:extLst>
        </c:ser>
        <c:dLbls>
          <c:dLblPos val="inEnd"/>
          <c:showLegendKey val="0"/>
          <c:showVal val="1"/>
          <c:showCatName val="0"/>
          <c:showSerName val="0"/>
          <c:showPercent val="0"/>
          <c:showBubbleSize val="0"/>
        </c:dLbls>
        <c:gapWidth val="65"/>
        <c:axId val="731902576"/>
        <c:axId val="580581296"/>
      </c:barChart>
      <c:catAx>
        <c:axId val="73190257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80581296"/>
        <c:crosses val="autoZero"/>
        <c:auto val="1"/>
        <c:lblAlgn val="ctr"/>
        <c:lblOffset val="100"/>
        <c:noMultiLvlLbl val="0"/>
      </c:catAx>
      <c:valAx>
        <c:axId val="580581296"/>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31902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[customer_support_tickets_lesson1.xlsx]Category analysis with PivotTab!PivotTable1</c:name>
    <c:fmtId val="2"/>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a:t>TICKETS BY PRIORITY</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 analysis with PivotTab'!$B$23</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'Category analysis with PivotTab'!$A$24:$A$28</c:f>
              <c:strCache>
                <c:ptCount val="4"/>
                <c:pt idx="0">
                  <c:v>High</c:v>
                </c:pt>
                <c:pt idx="1">
                  <c:v>Low</c:v>
                </c:pt>
                <c:pt idx="2">
                  <c:v>Medium</c:v>
                </c:pt>
                <c:pt idx="3">
                  <c:v>Urgent</c:v>
                </c:pt>
              </c:strCache>
            </c:strRef>
          </c:cat>
          <c:val>
            <c:numRef>
              <c:f>'Category analysis with PivotTab'!$B$24:$B$28</c:f>
              <c:numCache>
                <c:formatCode>General</c:formatCode>
                <c:ptCount val="4"/>
                <c:pt idx="0">
                  <c:v>127</c:v>
                </c:pt>
                <c:pt idx="1">
                  <c:v>135</c:v>
                </c:pt>
                <c:pt idx="2">
                  <c:v>104</c:v>
                </c:pt>
                <c:pt idx="3">
                  <c:v>134</c:v>
                </c:pt>
              </c:numCache>
            </c:numRef>
          </c:val>
          <c:extLst>
            <c:ext xmlns:c16="http://schemas.microsoft.com/office/drawing/2014/chart" uri="{C3380CC4-5D6E-409C-BE32-E72D297353CC}">
              <c16:uniqueId val="{00000000-8C4C-4B81-AE5E-8A0E297A3333}"/>
            </c:ext>
          </c:extLst>
        </c:ser>
        <c:dLbls>
          <c:showLegendKey val="0"/>
          <c:showVal val="0"/>
          <c:showCatName val="0"/>
          <c:showSerName val="0"/>
          <c:showPercent val="0"/>
          <c:showBubbleSize val="0"/>
        </c:dLbls>
        <c:gapWidth val="164"/>
        <c:overlap val="-22"/>
        <c:axId val="837806432"/>
        <c:axId val="654590384"/>
      </c:barChart>
      <c:catAx>
        <c:axId val="837806432"/>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4590384"/>
        <c:crosses val="autoZero"/>
        <c:auto val="1"/>
        <c:lblAlgn val="ctr"/>
        <c:lblOffset val="100"/>
        <c:noMultiLvlLbl val="0"/>
      </c:catAx>
      <c:valAx>
        <c:axId val="6545903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7806432"/>
        <c:crosses val="autoZero"/>
        <c:crossBetween val="between"/>
      </c:valAx>
      <c:spPr>
        <a:noFill/>
        <a:ln>
          <a:solidFill>
            <a:schemeClr val="tx1"/>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[customer_support_tickets_lesson1.xlsx]Category analysis with PivotTab!PivotTable7</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TICKETS BY CHANNEL</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'Category analysis with PivotTab'!$B$113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'Category analysis with PivotTab'!$A$114:$A$118</c:f>
              <c:strCache>
                <c:ptCount val="4"/>
                <c:pt idx="0">
                  <c:v>Chat</c:v>
                </c:pt>
                <c:pt idx="1">
                  <c:v>Email</c:v>
                </c:pt>
                <c:pt idx="2">
                  <c:v>Phone</c:v>
                </c:pt>
                <c:pt idx="3">
                  <c:v>Social Media</c:v>
                </c:pt>
              </c:strCache>
            </c:strRef>
          </c:cat>
          <c:val>
            <c:numRef>
              <c:f>'Category analysis with PivotTab'!$B$114:$B$118</c:f>
              <c:numCache>
                <c:formatCode>General</c:formatCode>
                <c:ptCount val="4"/>
                <c:pt idx="0">
                  <c:v>123</c:v>
                </c:pt>
                <c:pt idx="1">
                  <c:v>120</c:v>
                </c:pt>
                <c:pt idx="2">
                  <c:v>138</c:v>
                </c:pt>
                <c:pt idx="3">
                  <c:v>119</c:v>
                </c:pt>
              </c:numCache>
            </c:numRef>
          </c:val>
          <c:extLst>
            <c:ext xmlns:c16="http://schemas.microsoft.com/office/drawing/2014/chart" uri="{C3380CC4-5D6E-409C-BE32-E72D297353CC}">
              <c16:uniqueId val="{00000000-82CB-43E7-B3E5-34219EDFEED9}"/>
            </c:ext>
          </c:extLst>
        </c:ser>
        <c:dLbls>
          <c:dLblPos val="inEnd"/>
          <c:showLegendKey val="0"/>
          <c:showVal val="1"/>
          <c:showCatName val="0"/>
          <c:showSerName val="0"/>
          <c:showPercent val="0"/>
          <c:showBubbleSize val="0"/>
        </c:dLbls>
        <c:gapWidth val="65"/>
        <c:axId val="1125967632"/>
        <c:axId val="654617744"/>
      </c:barChart>
      <c:catAx>
        <c:axId val="112596763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54617744"/>
        <c:crosses val="autoZero"/>
        <c:auto val="1"/>
        <c:lblAlgn val="ctr"/>
        <c:lblOffset val="100"/>
        <c:noMultiLvlLbl val="0"/>
      </c:catAx>
      <c:valAx>
        <c:axId val="65461774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2596763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[customer_support_tickets_lesson1.xlsx]Category analysis with PivotTab!PivotTable4</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AVG RESOLUTION TIME BY CATEGORY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'Category analysis with PivotTab'!$B$53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'Category analysis with PivotTab'!$A$54:$A$60</c:f>
              <c:strCache>
                <c:ptCount val="6"/>
                <c:pt idx="0">
                  <c:v>Account</c:v>
                </c:pt>
                <c:pt idx="1">
                  <c:v>Delivery</c:v>
                </c:pt>
                <c:pt idx="2">
                  <c:v>Payment</c:v>
                </c:pt>
                <c:pt idx="3">
                  <c:v>Product Information</c:v>
                </c:pt>
                <c:pt idx="4">
                  <c:v>Refund</c:v>
                </c:pt>
                <c:pt idx="5">
                  <c:v>Technical Issue</c:v>
                </c:pt>
              </c:strCache>
            </c:strRef>
          </c:cat>
          <c:val>
            <c:numRef>
              <c:f>'Category analysis with PivotTab'!$B$54:$B$60</c:f>
              <c:numCache>
                <c:formatCode>General</c:formatCode>
                <c:ptCount val="6"/>
                <c:pt idx="0">
                  <c:v>38.264062500000001</c:v>
                </c:pt>
                <c:pt idx="1">
                  <c:v>33.360869565217392</c:v>
                </c:pt>
                <c:pt idx="2">
                  <c:v>36.82916666666668</c:v>
                </c:pt>
                <c:pt idx="3">
                  <c:v>38.745070422535228</c:v>
                </c:pt>
                <c:pt idx="4">
                  <c:v>31.670512820512823</c:v>
                </c:pt>
                <c:pt idx="5">
                  <c:v>37.443333333333342</c:v>
                </c:pt>
              </c:numCache>
            </c:numRef>
          </c:val>
          <c:extLst>
            <c:ext xmlns:c16="http://schemas.microsoft.com/office/drawing/2014/chart" uri="{C3380CC4-5D6E-409C-BE32-E72D297353CC}">
              <c16:uniqueId val="{00000000-BA07-450C-A832-F253D9350D4F}"/>
            </c:ext>
          </c:extLst>
        </c:ser>
        <c:dLbls>
          <c:dLblPos val="inEnd"/>
          <c:showLegendKey val="0"/>
          <c:showVal val="1"/>
          <c:showCatName val="0"/>
          <c:showSerName val="0"/>
          <c:showPercent val="0"/>
          <c:showBubbleSize val="0"/>
        </c:dLbls>
        <c:gapWidth val="65"/>
        <c:axId val="1102035856"/>
        <c:axId val="654593744"/>
      </c:barChart>
      <c:catAx>
        <c:axId val="110203585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54593744"/>
        <c:crosses val="autoZero"/>
        <c:auto val="1"/>
        <c:lblAlgn val="ctr"/>
        <c:lblOffset val="100"/>
        <c:noMultiLvlLbl val="0"/>
      </c:catAx>
      <c:valAx>
        <c:axId val="65459374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0203585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[customer_support_tickets_lesson1.xlsx]Category analysis with PivotTab!PivotTable9</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MONTHLY TRENDS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'Category analysis with PivotTab'!$B$153</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'Category analysis with PivotTab'!$A$154:$A$160</c:f>
              <c:strCache>
                <c:ptCount val="6"/>
                <c:pt idx="0">
                  <c:v>Jan</c:v>
                </c:pt>
                <c:pt idx="1">
                  <c:v>Feb</c:v>
                </c:pt>
                <c:pt idx="2">
                  <c:v>Mar</c:v>
                </c:pt>
                <c:pt idx="3">
                  <c:v>Apr</c:v>
                </c:pt>
                <c:pt idx="4">
                  <c:v>May</c:v>
                </c:pt>
                <c:pt idx="5">
                  <c:v>Jun</c:v>
                </c:pt>
              </c:strCache>
            </c:strRef>
          </c:cat>
          <c:val>
            <c:numRef>
              <c:f>'Category analysis with PivotTab'!$B$154:$B$160</c:f>
              <c:numCache>
                <c:formatCode>General</c:formatCode>
                <c:ptCount val="6"/>
                <c:pt idx="0">
                  <c:v>97</c:v>
                </c:pt>
                <c:pt idx="1">
                  <c:v>83</c:v>
                </c:pt>
                <c:pt idx="2">
                  <c:v>85</c:v>
                </c:pt>
                <c:pt idx="3">
                  <c:v>86</c:v>
                </c:pt>
                <c:pt idx="4">
                  <c:v>76</c:v>
                </c:pt>
                <c:pt idx="5">
                  <c:v>73</c:v>
                </c:pt>
              </c:numCache>
            </c:numRef>
          </c:val>
          <c:smooth val="0"/>
          <c:extLst>
            <c:ext xmlns:c16="http://schemas.microsoft.com/office/drawing/2014/chart" uri="{C3380CC4-5D6E-409C-BE32-E72D297353CC}">
              <c16:uniqueId val="{00000000-E751-443D-B8C9-A1701B643140}"/>
            </c:ext>
          </c:extLst>
        </c:ser>
        <c:dLbls>
          <c:dLblPos val="ctr"/>
          <c:showLegendKey val="0"/>
          <c:showVal val="1"/>
          <c:showCatName val="0"/>
          <c:showSerName val="0"/>
          <c:showPercent val="0"/>
          <c:showBubbleSize val="0"/>
        </c:dLbls>
        <c:marker val="1"/>
        <c:smooth val="0"/>
        <c:axId val="1125917984"/>
        <c:axId val="654552944"/>
      </c:lineChart>
      <c:catAx>
        <c:axId val="112591798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54552944"/>
        <c:crosses val="autoZero"/>
        <c:auto val="1"/>
        <c:lblAlgn val="ctr"/>
        <c:lblOffset val="100"/>
        <c:noMultiLvlLbl val="0"/>
      </c:catAx>
      <c:valAx>
        <c:axId val="65455294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12591798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[customer_support_tickets_lesson1.xlsx]Category analysis with PivotTab!PivotTable5</c:name>
    <c:fmtId val="2"/>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AVG CUSTOMER SATISFACTION BY CATEGORY</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 analysis with PivotTab'!$B$77</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'Category analysis with PivotTab'!$A$78:$A$85</c:f>
              <c:strCache>
                <c:ptCount val="7"/>
                <c:pt idx="1">
                  <c:v>Account</c:v>
                </c:pt>
                <c:pt idx="2">
                  <c:v>Delivery</c:v>
                </c:pt>
                <c:pt idx="3">
                  <c:v>Payment</c:v>
                </c:pt>
                <c:pt idx="4">
                  <c:v>Product Information</c:v>
                </c:pt>
                <c:pt idx="5">
                  <c:v>Refund</c:v>
                </c:pt>
                <c:pt idx="6">
                  <c:v>Technical Issue</c:v>
                </c:pt>
              </c:strCache>
            </c:strRef>
          </c:cat>
          <c:val>
            <c:numRef>
              <c:f>'Category analysis with PivotTab'!$B$78:$B$85</c:f>
              <c:numCache>
                <c:formatCode>General</c:formatCode>
                <c:ptCount val="7"/>
                <c:pt idx="1">
                  <c:v>3.5918367346938775</c:v>
                </c:pt>
                <c:pt idx="2">
                  <c:v>3.5576923076923075</c:v>
                </c:pt>
                <c:pt idx="3">
                  <c:v>3.0566037735849059</c:v>
                </c:pt>
                <c:pt idx="4">
                  <c:v>3</c:v>
                </c:pt>
                <c:pt idx="5">
                  <c:v>3.1333333333333333</c:v>
                </c:pt>
                <c:pt idx="6">
                  <c:v>3</c:v>
                </c:pt>
              </c:numCache>
            </c:numRef>
          </c:val>
          <c:extLst>
            <c:ext xmlns:c16="http://schemas.microsoft.com/office/drawing/2014/chart" uri="{C3380CC4-5D6E-409C-BE32-E72D297353CC}">
              <c16:uniqueId val="{00000000-B6BC-44AB-8139-D66E032C75BB}"/>
            </c:ext>
          </c:extLst>
        </c:ser>
        <c:dLbls>
          <c:dLblPos val="outEnd"/>
          <c:showLegendKey val="0"/>
          <c:showVal val="1"/>
          <c:showCatName val="0"/>
          <c:showSerName val="0"/>
          <c:showPercent val="0"/>
          <c:showBubbleSize val="0"/>
        </c:dLbls>
        <c:gapWidth val="444"/>
        <c:overlap val="-90"/>
        <c:axId val="805411215"/>
        <c:axId val="752492175"/>
      </c:barChart>
      <c:catAx>
        <c:axId val="8054112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752492175"/>
        <c:crosses val="autoZero"/>
        <c:auto val="1"/>
        <c:lblAlgn val="ctr"/>
        <c:lblOffset val="100"/>
        <c:noMultiLvlLbl val="0"/>
      </c:catAx>
      <c:valAx>
        <c:axId val="752492175"/>
        <c:scaling>
          <c:orientation val="minMax"/>
        </c:scaling>
        <c:delete val="1"/>
        <c:axPos val="l"/>
        <c:numFmt formatCode="General" sourceLinked="1"/>
        <c:majorTickMark val="none"/>
        <c:minorTickMark val="none"/>
        <c:tickLblPos val="nextTo"/>
        <c:crossAx val="805411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[customer_support_tickets_lesson1.xlsx]Category analysis with PivotTab!PivotTable3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TICKETS BY CATEGORY</a:t>
            </a:r>
          </a:p>
        </c:rich>
      </c:tx>
      <c:layout>
        <c:manualLayout>
          <c:xMode val="edge"/>
          <c:yMode val="edge"/>
          <c:x val="0.36388188976377955"/>
          <c:y val="5.45348498104403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'Category analysis with PivotTab'!$B$3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 analysis with PivotTab'!$A$4:$A$11</c:f>
              <c:strCache>
                <c:ptCount val="7"/>
                <c:pt idx="1">
                  <c:v>Account</c:v>
                </c:pt>
                <c:pt idx="2">
                  <c:v>Delivery</c:v>
                </c:pt>
                <c:pt idx="3">
                  <c:v>Payment</c:v>
                </c:pt>
                <c:pt idx="4">
                  <c:v>Product Information</c:v>
                </c:pt>
                <c:pt idx="5">
                  <c:v>Refund</c:v>
                </c:pt>
                <c:pt idx="6">
                  <c:v>Technical Issue</c:v>
                </c:pt>
              </c:strCache>
            </c:strRef>
          </c:cat>
          <c:val>
            <c:numRef>
              <c:f>'Category analysis with PivotTab'!$B$4:$B$11</c:f>
              <c:numCache>
                <c:formatCode>General</c:formatCode>
                <c:ptCount val="7"/>
                <c:pt idx="0">
                  <c:v>1</c:v>
                </c:pt>
                <c:pt idx="1">
                  <c:v>78</c:v>
                </c:pt>
                <c:pt idx="2">
                  <c:v>79</c:v>
                </c:pt>
                <c:pt idx="3">
                  <c:v>88</c:v>
                </c:pt>
                <c:pt idx="4">
                  <c:v>89</c:v>
                </c:pt>
                <c:pt idx="5">
                  <c:v>89</c:v>
                </c:pt>
                <c:pt idx="6">
                  <c:v>76</c:v>
                </c:pt>
              </c:numCache>
            </c:numRef>
          </c:val>
          <c:extLst>
            <c:ext xmlns:c16="http://schemas.microsoft.com/office/drawing/2014/chart" uri="{C3380CC4-5D6E-409C-BE32-E72D297353CC}">
              <c16:uniqueId val="{00000000-D91B-4E79-8378-0406B4FFD4B0}"/>
            </c:ext>
          </c:extLst>
        </c:ser>
        <c:dLbls>
          <c:dLblPos val="outEnd"/>
          <c:showLegendKey val="0"/>
          <c:showVal val="1"/>
          <c:showCatName val="0"/>
          <c:showSerName val="0"/>
          <c:showPercent val="0"/>
          <c:showBubbleSize val="0"/>
        </c:dLbls>
        <c:gapWidth val="182"/>
        <c:axId val="731902576"/>
        <c:axId val="580581296"/>
      </c:barChart>
      <c:catAx>
        <c:axId val="7319025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0581296"/>
        <c:crosses val="autoZero"/>
        <c:auto val="1"/>
        <c:lblAlgn val="ctr"/>
        <c:lblOffset val="100"/>
        <c:noMultiLvlLbl val="0"/>
      </c:catAx>
      <c:valAx>
        <c:axId val="5805812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1902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[customer_support_tickets_lesson1.xlsx]Category analysis with PivotTab!PivotTable1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 analysis with PivotTab'!$B$23</c:f>
              <c:strCache>
                <c:ptCount val="1"/>
                <c:pt idx="0">
                  <c:v>Total</c:v>
                </c:pt>
              </c:strCache>
            </c:strRef>
          </c:tx>
          <c:spPr>
            <a:solidFill>
              <a:schemeClr val="accent1"/>
            </a:solidFill>
            <a:ln>
              <a:noFill/>
            </a:ln>
            <a:effectLst/>
          </c:spPr>
          <c:invertIfNegative val="0"/>
          <c:cat>
            <c:strRef>
              <c:f>'Category analysis with PivotTab'!$A$24:$A$28</c:f>
              <c:strCache>
                <c:ptCount val="4"/>
                <c:pt idx="0">
                  <c:v>High</c:v>
                </c:pt>
                <c:pt idx="1">
                  <c:v>Low</c:v>
                </c:pt>
                <c:pt idx="2">
                  <c:v>Medium</c:v>
                </c:pt>
                <c:pt idx="3">
                  <c:v>Urgent</c:v>
                </c:pt>
              </c:strCache>
            </c:strRef>
          </c:cat>
          <c:val>
            <c:numRef>
              <c:f>'Category analysis with PivotTab'!$B$24:$B$28</c:f>
              <c:numCache>
                <c:formatCode>General</c:formatCode>
                <c:ptCount val="4"/>
                <c:pt idx="0">
                  <c:v>127</c:v>
                </c:pt>
                <c:pt idx="1">
                  <c:v>135</c:v>
                </c:pt>
                <c:pt idx="2">
                  <c:v>104</c:v>
                </c:pt>
                <c:pt idx="3">
                  <c:v>134</c:v>
                </c:pt>
              </c:numCache>
            </c:numRef>
          </c:val>
          <c:extLst>
            <c:ext xmlns:c16="http://schemas.microsoft.com/office/drawing/2014/chart" uri="{C3380CC4-5D6E-409C-BE32-E72D297353CC}">
              <c16:uniqueId val="{00000000-04A7-4694-802E-967338A7AB16}"/>
            </c:ext>
          </c:extLst>
        </c:ser>
        <c:dLbls>
          <c:showLegendKey val="0"/>
          <c:showVal val="0"/>
          <c:showCatName val="0"/>
          <c:showSerName val="0"/>
          <c:showPercent val="0"/>
          <c:showBubbleSize val="0"/>
        </c:dLbls>
        <c:gapWidth val="219"/>
        <c:overlap val="-27"/>
        <c:axId val="837806432"/>
        <c:axId val="654590384"/>
      </c:barChart>
      <c:catAx>
        <c:axId val="837806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4590384"/>
        <c:crosses val="autoZero"/>
        <c:auto val="1"/>
        <c:lblAlgn val="ctr"/>
        <c:lblOffset val="100"/>
        <c:noMultiLvlLbl val="0"/>
      </c:catAx>
      <c:valAx>
        <c:axId val="654590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7806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[customer_support_tickets_lesson1.xlsx]Category analysis with PivotTab!PivotTable4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'Category analysis with PivotTab'!$B$53</c:f>
              <c:strCache>
                <c:ptCount val="1"/>
                <c:pt idx="0">
                  <c:v>Total</c:v>
                </c:pt>
              </c:strCache>
            </c:strRef>
          </c:tx>
          <c:spPr>
            <a:solidFill>
              <a:schemeClr val="accent1"/>
            </a:solidFill>
            <a:ln>
              <a:noFill/>
            </a:ln>
            <a:effectLst/>
          </c:spPr>
          <c:invertIfNegative val="0"/>
          <c:cat>
            <c:strRef>
              <c:f>'Category analysis with PivotTab'!$A$54:$A$60</c:f>
              <c:strCache>
                <c:ptCount val="6"/>
                <c:pt idx="0">
                  <c:v>Account</c:v>
                </c:pt>
                <c:pt idx="1">
                  <c:v>Delivery</c:v>
                </c:pt>
                <c:pt idx="2">
                  <c:v>Payment</c:v>
                </c:pt>
                <c:pt idx="3">
                  <c:v>Product Information</c:v>
                </c:pt>
                <c:pt idx="4">
                  <c:v>Refund</c:v>
                </c:pt>
                <c:pt idx="5">
                  <c:v>Technical Issue</c:v>
                </c:pt>
              </c:strCache>
            </c:strRef>
          </c:cat>
          <c:val>
            <c:numRef>
              <c:f>'Category analysis with PivotTab'!$B$54:$B$60</c:f>
              <c:numCache>
                <c:formatCode>General</c:formatCode>
                <c:ptCount val="6"/>
                <c:pt idx="0">
                  <c:v>38.264062500000001</c:v>
                </c:pt>
                <c:pt idx="1">
                  <c:v>33.360869565217392</c:v>
                </c:pt>
                <c:pt idx="2">
                  <c:v>36.82916666666668</c:v>
                </c:pt>
                <c:pt idx="3">
                  <c:v>38.745070422535228</c:v>
                </c:pt>
                <c:pt idx="4">
                  <c:v>31.670512820512823</c:v>
                </c:pt>
                <c:pt idx="5">
                  <c:v>37.443333333333342</c:v>
                </c:pt>
              </c:numCache>
            </c:numRef>
          </c:val>
          <c:extLst>
            <c:ext xmlns:c16="http://schemas.microsoft.com/office/drawing/2014/chart" uri="{C3380CC4-5D6E-409C-BE32-E72D297353CC}">
              <c16:uniqueId val="{00000000-9BA2-4A30-B046-629296FD5449}"/>
            </c:ext>
          </c:extLst>
        </c:ser>
        <c:dLbls>
          <c:showLegendKey val="0"/>
          <c:showVal val="0"/>
          <c:showCatName val="0"/>
          <c:showSerName val="0"/>
          <c:showPercent val="0"/>
          <c:showBubbleSize val="0"/>
        </c:dLbls>
        <c:gapWidth val="182"/>
        <c:axId val="1102035856"/>
        <c:axId val="654593744"/>
      </c:barChart>
      <c:catAx>
        <c:axId val="11020358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4593744"/>
        <c:crosses val="autoZero"/>
        <c:auto val="1"/>
        <c:lblAlgn val="ctr"/>
        <c:lblOffset val="100"/>
        <c:noMultiLvlLbl val="0"/>
      </c:catAx>
      <c:valAx>
        <c:axId val="6545937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2035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[customer_support_tickets_lesson1.xlsx]Category analysis with PivotTab!PivotTable7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'Category analysis with PivotTab'!$B$113</c:f>
              <c:strCache>
                <c:ptCount val="1"/>
                <c:pt idx="0">
                  <c:v>Total</c:v>
                </c:pt>
              </c:strCache>
            </c:strRef>
          </c:tx>
          <c:spPr>
            <a:solidFill>
              <a:schemeClr val="accent1"/>
            </a:solidFill>
            <a:ln>
              <a:noFill/>
            </a:ln>
            <a:effectLst/>
          </c:spPr>
          <c:invertIfNegative val="0"/>
          <c:cat>
            <c:strRef>
              <c:f>'Category analysis with PivotTab'!$A$114:$A$118</c:f>
              <c:strCache>
                <c:ptCount val="4"/>
                <c:pt idx="0">
                  <c:v>Chat</c:v>
                </c:pt>
                <c:pt idx="1">
                  <c:v>Email</c:v>
                </c:pt>
                <c:pt idx="2">
                  <c:v>Phone</c:v>
                </c:pt>
                <c:pt idx="3">
                  <c:v>Social Media</c:v>
                </c:pt>
              </c:strCache>
            </c:strRef>
          </c:cat>
          <c:val>
            <c:numRef>
              <c:f>'Category analysis with PivotTab'!$B$114:$B$118</c:f>
              <c:numCache>
                <c:formatCode>General</c:formatCode>
                <c:ptCount val="4"/>
                <c:pt idx="0">
                  <c:v>123</c:v>
                </c:pt>
                <c:pt idx="1">
                  <c:v>120</c:v>
                </c:pt>
                <c:pt idx="2">
                  <c:v>138</c:v>
                </c:pt>
                <c:pt idx="3">
                  <c:v>119</c:v>
                </c:pt>
              </c:numCache>
            </c:numRef>
          </c:val>
          <c:extLst>
            <c:ext xmlns:c16="http://schemas.microsoft.com/office/drawing/2014/chart" uri="{C3380CC4-5D6E-409C-BE32-E72D297353CC}">
              <c16:uniqueId val="{00000000-27A2-4F92-B1FD-D05630F19380}"/>
            </c:ext>
          </c:extLst>
        </c:ser>
        <c:dLbls>
          <c:showLegendKey val="0"/>
          <c:showVal val="0"/>
          <c:showCatName val="0"/>
          <c:showSerName val="0"/>
          <c:showPercent val="0"/>
          <c:showBubbleSize val="0"/>
        </c:dLbls>
        <c:gapWidth val="182"/>
        <c:axId val="1125967632"/>
        <c:axId val="654617744"/>
      </c:barChart>
      <c:catAx>
        <c:axId val="11259676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4617744"/>
        <c:crosses val="autoZero"/>
        <c:auto val="1"/>
        <c:lblAlgn val="ctr"/>
        <c:lblOffset val="100"/>
        <c:noMultiLvlLbl val="0"/>
      </c:catAx>
      <c:valAx>
        <c:axId val="6546177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5967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[customer_support_tickets_lesson1.xlsx]Category analysis with PivotTab!PivotTable9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'Category analysis with PivotTab'!$B$153</c:f>
              <c:strCache>
                <c:ptCount val="1"/>
                <c:pt idx="0">
                  <c:v>Total</c:v>
                </c:pt>
              </c:strCache>
            </c:strRef>
          </c:tx>
          <c:spPr>
            <a:ln w="28575" cap="rnd">
              <a:solidFill>
                <a:schemeClr val="accent1"/>
              </a:solidFill>
              <a:round/>
            </a:ln>
            <a:effectLst/>
          </c:spPr>
          <c:marker>
            <c:symbol val="none"/>
          </c:marker>
          <c:cat>
            <c:strRef>
              <c:f>'Category analysis with PivotTab'!$A$154:$A$160</c:f>
              <c:strCache>
                <c:ptCount val="6"/>
                <c:pt idx="0">
                  <c:v>Jan</c:v>
                </c:pt>
                <c:pt idx="1">
                  <c:v>Feb</c:v>
                </c:pt>
                <c:pt idx="2">
                  <c:v>Mar</c:v>
                </c:pt>
                <c:pt idx="3">
                  <c:v>Apr</c:v>
                </c:pt>
                <c:pt idx="4">
                  <c:v>May</c:v>
                </c:pt>
                <c:pt idx="5">
                  <c:v>Jun</c:v>
                </c:pt>
              </c:strCache>
            </c:strRef>
          </c:cat>
          <c:val>
            <c:numRef>
              <c:f>'Category analysis with PivotTab'!$B$154:$B$160</c:f>
              <c:numCache>
                <c:formatCode>General</c:formatCode>
                <c:ptCount val="6"/>
                <c:pt idx="0">
                  <c:v>97</c:v>
                </c:pt>
                <c:pt idx="1">
                  <c:v>83</c:v>
                </c:pt>
                <c:pt idx="2">
                  <c:v>85</c:v>
                </c:pt>
                <c:pt idx="3">
                  <c:v>86</c:v>
                </c:pt>
                <c:pt idx="4">
                  <c:v>76</c:v>
                </c:pt>
                <c:pt idx="5">
                  <c:v>73</c:v>
                </c:pt>
              </c:numCache>
            </c:numRef>
          </c:val>
          <c:smooth val="0"/>
          <c:extLst>
            <c:ext xmlns:c16="http://schemas.microsoft.com/office/drawing/2014/chart" uri="{C3380CC4-5D6E-409C-BE32-E72D297353CC}">
              <c16:uniqueId val="{00000000-C78E-4885-A981-3688DF176196}"/>
            </c:ext>
          </c:extLst>
        </c:ser>
        <c:dLbls>
          <c:showLegendKey val="0"/>
          <c:showVal val="0"/>
          <c:showCatName val="0"/>
          <c:showSerName val="0"/>
          <c:showPercent val="0"/>
          <c:showBubbleSize val="0"/>
        </c:dLbls>
        <c:smooth val="0"/>
        <c:axId val="1125917984"/>
        <c:axId val="654552944"/>
      </c:lineChart>
      <c:catAx>
        <c:axId val="1125917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4552944"/>
        <c:crosses val="autoZero"/>
        <c:auto val="1"/>
        <c:lblAlgn val="ctr"/>
        <c:lblOffset val="100"/>
        <c:noMultiLvlLbl val="0"/>
      </c:catAx>
      <c:valAx>
        <c:axId val="654552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5917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[customer_support_tickets_lesson1.xlsx]Category analysis with PivotTab!PivotTable5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 analysis with PivotTab'!$B$77</c:f>
              <c:strCache>
                <c:ptCount val="1"/>
                <c:pt idx="0">
                  <c:v>Total</c:v>
                </c:pt>
              </c:strCache>
            </c:strRef>
          </c:tx>
          <c:spPr>
            <a:solidFill>
              <a:schemeClr val="accent1"/>
            </a:solidFill>
            <a:ln>
              <a:noFill/>
            </a:ln>
            <a:effectLst/>
          </c:spPr>
          <c:invertIfNegative val="0"/>
          <c:cat>
            <c:strRef>
              <c:f>'Category analysis with PivotTab'!$A$78:$A$85</c:f>
              <c:strCache>
                <c:ptCount val="7"/>
                <c:pt idx="1">
                  <c:v>Account</c:v>
                </c:pt>
                <c:pt idx="2">
                  <c:v>Delivery</c:v>
                </c:pt>
                <c:pt idx="3">
                  <c:v>Payment</c:v>
                </c:pt>
                <c:pt idx="4">
                  <c:v>Product Information</c:v>
                </c:pt>
                <c:pt idx="5">
                  <c:v>Refund</c:v>
                </c:pt>
                <c:pt idx="6">
                  <c:v>Technical Issue</c:v>
                </c:pt>
              </c:strCache>
            </c:strRef>
          </c:cat>
          <c:val>
            <c:numRef>
              <c:f>'Category analysis with PivotTab'!$B$78:$B$85</c:f>
              <c:numCache>
                <c:formatCode>General</c:formatCode>
                <c:ptCount val="7"/>
                <c:pt idx="1">
                  <c:v>3.5918367346938775</c:v>
                </c:pt>
                <c:pt idx="2">
                  <c:v>3.5576923076923075</c:v>
                </c:pt>
                <c:pt idx="3">
                  <c:v>3.0566037735849059</c:v>
                </c:pt>
                <c:pt idx="4">
                  <c:v>3</c:v>
                </c:pt>
                <c:pt idx="5">
                  <c:v>3.1333333333333333</c:v>
                </c:pt>
                <c:pt idx="6">
                  <c:v>3</c:v>
                </c:pt>
              </c:numCache>
            </c:numRef>
          </c:val>
          <c:extLst>
            <c:ext xmlns:c16="http://schemas.microsoft.com/office/drawing/2014/chart" uri="{C3380CC4-5D6E-409C-BE32-E72D297353CC}">
              <c16:uniqueId val="{00000000-C66E-459A-8798-0AE62269FAC7}"/>
            </c:ext>
          </c:extLst>
        </c:ser>
        <c:dLbls>
          <c:showLegendKey val="0"/>
          <c:showVal val="0"/>
          <c:showCatName val="0"/>
          <c:showSerName val="0"/>
          <c:showPercent val="0"/>
          <c:showBubbleSize val="0"/>
        </c:dLbls>
        <c:gapWidth val="219"/>
        <c:overlap val="-27"/>
        <c:axId val="805411215"/>
        <c:axId val="752492175"/>
      </c:barChart>
      <c:catAx>
        <c:axId val="805411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2492175"/>
        <c:crosses val="autoZero"/>
        <c:auto val="1"/>
        <c:lblAlgn val="ctr"/>
        <c:lblOffset val="100"/>
        <c:noMultiLvlLbl val="0"/>
      </c:catAx>
      <c:valAx>
        <c:axId val="7524921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5411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xdr:col>
      <xdr:colOff>0</xdr:colOff>
      <xdr:row>8</xdr:row>
      <xdr:rowOff>0</xdr:rowOff>
    </xdr:from>
    <xdr:to>
      <xdr:col>9</xdr:col>
      <xdr:colOff>317460</xdr:colOff>
      <xdr:row>23</xdr:row>
      <xdr:rowOff>136800</xdr:rowOff>
    </xdr:to>
    <xdr:graphicFrame macro="">
      <xdr:nvGraphicFramePr>
        <xdr:cNvPr id="2" name="Chart 1">
          <a:extLst>
            <a:ext uri="{FF2B5EF4-FFF2-40B4-BE49-F238E27FC236}">
              <a16:creationId xmlns:a16="http://schemas.microsoft.com/office/drawing/2014/main" id="{FBEE14E4-B7C8-4241-AA89-FBB068B84A25}"/>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601980</xdr:colOff>
      <xdr:row>7</xdr:row>
      <xdr:rowOff>167640</xdr:rowOff>
    </xdr:from>
    <xdr:to>
      <xdr:col>19</xdr:col>
      <xdr:colOff>5040</xdr:colOff>
      <xdr:row>23</xdr:row>
      <xdr:rowOff>121560</xdr:rowOff>
    </xdr:to>
    <xdr:graphicFrame macro="">
      <xdr:nvGraphicFramePr>
        <xdr:cNvPr id="3" name="Chart 2">
          <a:extLst>
            <a:ext uri="{FF2B5EF4-FFF2-40B4-BE49-F238E27FC236}">
              <a16:creationId xmlns:a16="http://schemas.microsoft.com/office/drawing/2014/main" id="{737B0F84-D0BB-4B3C-A2A5-674C0721211A}"/>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15240</xdr:colOff>
      <xdr:row>26</xdr:row>
      <xdr:rowOff>0</xdr:rowOff>
    </xdr:from>
    <xdr:to>
      <xdr:col>9</xdr:col>
      <xdr:colOff>332700</xdr:colOff>
      <xdr:row>41</xdr:row>
      <xdr:rowOff>136800</xdr:rowOff>
    </xdr:to>
    <xdr:graphicFrame macro="">
      <xdr:nvGraphicFramePr>
        <xdr:cNvPr id="4" name="Chart 3">
          <a:extLst>
            <a:ext uri="{FF2B5EF4-FFF2-40B4-BE49-F238E27FC236}">
              <a16:creationId xmlns:a16="http://schemas.microsoft.com/office/drawing/2014/main" id="{5F883382-2080-4A54-AA5A-6FD974B64988}"/>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7620</xdr:colOff>
      <xdr:row>25</xdr:row>
      <xdr:rowOff>175260</xdr:rowOff>
    </xdr:from>
    <xdr:to>
      <xdr:col>19</xdr:col>
      <xdr:colOff>20280</xdr:colOff>
      <xdr:row>41</xdr:row>
      <xdr:rowOff>129180</xdr:rowOff>
    </xdr:to>
    <xdr:graphicFrame macro="">
      <xdr:nvGraphicFramePr>
        <xdr:cNvPr id="5" name="Chart 4">
          <a:extLst>
            <a:ext uri="{FF2B5EF4-FFF2-40B4-BE49-F238E27FC236}">
              <a16:creationId xmlns:a16="http://schemas.microsoft.com/office/drawing/2014/main" id="{98BE4659-5DB5-49C7-BE66-C44C3198DC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601980</xdr:colOff>
      <xdr:row>44</xdr:row>
      <xdr:rowOff>0</xdr:rowOff>
    </xdr:from>
    <xdr:to>
      <xdr:col>19</xdr:col>
      <xdr:colOff>5040</xdr:colOff>
      <xdr:row>59</xdr:row>
      <xdr:rowOff>136800</xdr:rowOff>
    </xdr:to>
    <xdr:graphicFrame macro="">
      <xdr:nvGraphicFramePr>
        <xdr:cNvPr id="6" name="Chart 5">
          <a:extLst>
            <a:ext uri="{FF2B5EF4-FFF2-40B4-BE49-F238E27FC236}">
              <a16:creationId xmlns:a16="http://schemas.microsoft.com/office/drawing/2014/main" id="{03B8D8B0-1D70-4EB4-AF73-64890CE0F2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0</xdr:colOff>
      <xdr:row>44</xdr:row>
      <xdr:rowOff>7620</xdr:rowOff>
    </xdr:from>
    <xdr:to>
      <xdr:col>9</xdr:col>
      <xdr:colOff>317460</xdr:colOff>
      <xdr:row>59</xdr:row>
      <xdr:rowOff>144420</xdr:rowOff>
    </xdr:to>
    <xdr:graphicFrame macro="">
      <xdr:nvGraphicFramePr>
        <xdr:cNvPr id="7" name="Chart 6">
          <a:extLst>
            <a:ext uri="{FF2B5EF4-FFF2-40B4-BE49-F238E27FC236}">
              <a16:creationId xmlns:a16="http://schemas.microsoft.com/office/drawing/2014/main" id="{05657FBB-2F04-4D24-A2FD-772C4F8B8B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236220</xdr:colOff>
      <xdr:row>1</xdr:row>
      <xdr:rowOff>110490</xdr:rowOff>
    </xdr:from>
    <xdr:to>
      <xdr:col>10</xdr:col>
      <xdr:colOff>541020</xdr:colOff>
      <xdr:row>16</xdr:row>
      <xdr:rowOff>110490</xdr:rowOff>
    </xdr:to>
    <xdr:graphicFrame macro="">
      <xdr:nvGraphicFramePr>
        <xdr:cNvPr id="3" name="Chart 2">
          <a:extLst>
            <a:ext uri="{FF2B5EF4-FFF2-40B4-BE49-F238E27FC236}">
              <a16:creationId xmlns:a16="http://schemas.microsoft.com/office/drawing/2014/main" id="{9221C448-5774-26AF-3617-492EB29372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510540</xdr:colOff>
      <xdr:row>20</xdr:row>
      <xdr:rowOff>19050</xdr:rowOff>
    </xdr:from>
    <xdr:to>
      <xdr:col>13</xdr:col>
      <xdr:colOff>205740</xdr:colOff>
      <xdr:row>34</xdr:row>
      <xdr:rowOff>156210</xdr:rowOff>
    </xdr:to>
    <xdr:graphicFrame macro="">
      <xdr:nvGraphicFramePr>
        <xdr:cNvPr id="2" name="Chart 1">
          <a:extLst>
            <a:ext uri="{FF2B5EF4-FFF2-40B4-BE49-F238E27FC236}">
              <a16:creationId xmlns:a16="http://schemas.microsoft.com/office/drawing/2014/main" id="{68F0A7D5-1C8D-27EE-D73A-778C5AF751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297180</xdr:colOff>
      <xdr:row>51</xdr:row>
      <xdr:rowOff>87630</xdr:rowOff>
    </xdr:from>
    <xdr:to>
      <xdr:col>8</xdr:col>
      <xdr:colOff>601980</xdr:colOff>
      <xdr:row>64</xdr:row>
      <xdr:rowOff>45720</xdr:rowOff>
    </xdr:to>
    <xdr:graphicFrame macro="">
      <xdr:nvGraphicFramePr>
        <xdr:cNvPr id="4" name="Chart 3">
          <a:extLst>
            <a:ext uri="{FF2B5EF4-FFF2-40B4-BE49-F238E27FC236}">
              <a16:creationId xmlns:a16="http://schemas.microsoft.com/office/drawing/2014/main" id="{3D248B31-C835-1364-589A-1EBDF181B1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30480</xdr:colOff>
      <xdr:row>110</xdr:row>
      <xdr:rowOff>160020</xdr:rowOff>
    </xdr:from>
    <xdr:to>
      <xdr:col>6</xdr:col>
      <xdr:colOff>2369820</xdr:colOff>
      <xdr:row>121</xdr:row>
      <xdr:rowOff>57150</xdr:rowOff>
    </xdr:to>
    <xdr:graphicFrame macro="">
      <xdr:nvGraphicFramePr>
        <xdr:cNvPr id="5" name="Chart 4">
          <a:extLst>
            <a:ext uri="{FF2B5EF4-FFF2-40B4-BE49-F238E27FC236}">
              <a16:creationId xmlns:a16="http://schemas.microsoft.com/office/drawing/2014/main" id="{A849F51D-1488-D1BF-D2C3-10F20F9BF1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1920240</xdr:colOff>
      <xdr:row>150</xdr:row>
      <xdr:rowOff>133350</xdr:rowOff>
    </xdr:from>
    <xdr:to>
      <xdr:col>6</xdr:col>
      <xdr:colOff>1706880</xdr:colOff>
      <xdr:row>163</xdr:row>
      <xdr:rowOff>106680</xdr:rowOff>
    </xdr:to>
    <xdr:graphicFrame macro="">
      <xdr:nvGraphicFramePr>
        <xdr:cNvPr id="6" name="Chart 5">
          <a:extLst>
            <a:ext uri="{FF2B5EF4-FFF2-40B4-BE49-F238E27FC236}">
              <a16:creationId xmlns:a16="http://schemas.microsoft.com/office/drawing/2014/main" id="{C994CA74-4845-89D5-E611-42BA919110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2019300</xdr:colOff>
      <xdr:row>72</xdr:row>
      <xdr:rowOff>171450</xdr:rowOff>
    </xdr:from>
    <xdr:to>
      <xdr:col>6</xdr:col>
      <xdr:colOff>3345180</xdr:colOff>
      <xdr:row>87</xdr:row>
      <xdr:rowOff>125730</xdr:rowOff>
    </xdr:to>
    <xdr:graphicFrame macro="">
      <xdr:nvGraphicFramePr>
        <xdr:cNvPr id="7" name="Chart 6">
          <a:extLst>
            <a:ext uri="{FF2B5EF4-FFF2-40B4-BE49-F238E27FC236}">
              <a16:creationId xmlns:a16="http://schemas.microsoft.com/office/drawing/2014/main" id="{9C3C7534-7974-FC4F-414C-900EC7C875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NZA REHMAN" refreshedDate="46236.977356365744" createdVersion="8" refreshedVersion="8" minRefreshableVersion="3" recordCount="500" xr:uid="{899387F3-44B7-4794-905C-636A167C8188}">
  <cacheSource type="worksheet">
    <worksheetSource ref="A1:L501" sheet="cleaned data"/>
  </cacheSource>
  <cacheFields count="14">
    <cacheField name="ticket_id" numFmtId="0">
      <sharedItems/>
    </cacheField>
    <cacheField name="created_date" numFmtId="22">
      <sharedItems containsSemiMixedTypes="0" containsNonDate="0" containsDate="1" containsString="0" minDate="2025-01-01T00:42:00" maxDate="2025-06-29T17:58:00" count="500">
        <d v="2025-02-12T22:19:00"/>
        <d v="2025-03-21T22:27:00"/>
        <d v="2025-02-26T10:49:00"/>
        <d v="2025-05-23T23:35:00"/>
        <d v="2025-02-11T09:43:00"/>
        <d v="2025-05-03T18:41:00"/>
        <d v="2025-02-04T16:29:00"/>
        <d v="2025-01-19T22:40:00"/>
        <d v="2025-01-05T18:04:00"/>
        <d v="2025-05-14T15:40:00"/>
        <d v="2025-06-21T20:15:00"/>
        <d v="2025-04-19T03:47:00"/>
        <d v="2025-01-21T15:21:00"/>
        <d v="2025-01-12T09:57:00"/>
        <d v="2025-03-09T06:15:00"/>
        <d v="2025-04-06T08:47:00"/>
        <d v="2025-06-22T09:46:00"/>
        <d v="2025-02-28T01:51:00"/>
        <d v="2025-04-20T16:20:00"/>
        <d v="2025-06-09T19:44:00"/>
        <d v="2025-01-27T06:33:00"/>
        <d v="2025-03-09T12:08:00"/>
        <d v="2025-03-01T16:26:00"/>
        <d v="2025-03-01T14:40:00"/>
        <d v="2025-04-01T16:04:00"/>
        <d v="2025-06-09T04:15:00"/>
        <d v="2025-02-13T18:48:00"/>
        <d v="2025-02-05T08:19:00"/>
        <d v="2025-04-08T12:42:00"/>
        <d v="2025-06-14T21:09:00"/>
        <d v="2025-01-12T12:28:00"/>
        <d v="2025-04-19T11:44:00"/>
        <d v="2025-05-26T17:12:00"/>
        <d v="2025-03-18T18:27:00"/>
        <d v="2025-03-23T08:52:00"/>
        <d v="2025-01-10T02:03:00"/>
        <d v="2025-01-18T21:58:00"/>
        <d v="2025-01-07T07:34:00"/>
        <d v="2025-03-02T11:20:00"/>
        <d v="2025-05-19T01:22:00"/>
        <d v="2025-03-14T12:26:00"/>
        <d v="2025-05-02T22:09:00"/>
        <d v="2025-04-05T16:17:00"/>
        <d v="2025-06-10T20:02:00"/>
        <d v="2025-06-07T04:50:00"/>
        <d v="2025-06-01T08:20:00"/>
        <d v="2025-02-23T14:51:00"/>
        <d v="2025-05-16T04:46:00"/>
        <d v="2025-02-07T09:02:00"/>
        <d v="2025-06-23T23:41:00"/>
        <d v="2025-06-11T21:58:00"/>
        <d v="2025-04-19T00:33:00"/>
        <d v="2025-04-20T15:24:00"/>
        <d v="2025-05-28T06:45:00"/>
        <d v="2025-01-02T13:08:00"/>
        <d v="2025-01-24T20:23:00"/>
        <d v="2025-06-18T17:11:00"/>
        <d v="2025-06-05T13:10:00"/>
        <d v="2025-01-27T09:26:00"/>
        <d v="2025-03-21T21:47:00"/>
        <d v="2025-06-15T04:15:00"/>
        <d v="2025-02-28T07:29:00"/>
        <d v="2025-03-30T16:33:00"/>
        <d v="2025-03-17T14:11:00"/>
        <d v="2025-02-23T10:19:00"/>
        <d v="2025-03-15T07:38:00"/>
        <d v="2025-04-25T00:05:00"/>
        <d v="2025-05-28T19:49:00"/>
        <d v="2025-01-29T11:56:00"/>
        <d v="2025-06-13T03:01:00"/>
        <d v="2025-04-12T20:29:00"/>
        <d v="2025-04-14T17:53:00"/>
        <d v="2025-04-10T08:11:00"/>
        <d v="2025-05-31T03:21:00"/>
        <d v="2025-06-07T06:51:00"/>
        <d v="2025-05-20T17:25:00"/>
        <d v="2025-04-08T21:27:00"/>
        <d v="2025-06-19T00:08:00"/>
        <d v="2025-03-18T15:50:00"/>
        <d v="2025-05-20T17:30:00"/>
        <d v="2025-03-03T09:07:00"/>
        <d v="2025-04-20T10:42:00"/>
        <d v="2025-06-28T19:45:00"/>
        <d v="2025-01-20T18:36:00"/>
        <d v="2025-03-12T12:21:00"/>
        <d v="2025-02-15T03:58:00"/>
        <d v="2025-03-25T12:44:00"/>
        <d v="2025-01-01T19:22:00"/>
        <d v="2025-03-24T06:44:00"/>
        <d v="2025-05-16T06:01:00"/>
        <d v="2025-03-15T20:03:00"/>
        <d v="2025-01-25T01:00:00"/>
        <d v="2025-04-29T16:25:00"/>
        <d v="2025-03-26T19:42:00"/>
        <d v="2025-01-16T08:55:00"/>
        <d v="2025-06-01T13:24:00"/>
        <d v="2025-02-04T08:07:00"/>
        <d v="2025-04-25T18:17:00"/>
        <d v="2025-03-10T17:52:00"/>
        <d v="2025-05-21T17:18:00"/>
        <d v="2025-06-29T03:24:00"/>
        <d v="2025-02-07T19:00:00"/>
        <d v="2025-01-11T09:23:00"/>
        <d v="2025-05-11T02:46:00"/>
        <d v="2025-05-24T13:39:00"/>
        <d v="2025-03-13T12:23:00"/>
        <d v="2025-04-04T16:51:00"/>
        <d v="2025-04-27T00:46:00"/>
        <d v="2025-03-22T22:20:00"/>
        <d v="2025-03-21T02:32:00"/>
        <d v="2025-04-27T00:27:00"/>
        <d v="2025-02-26T12:38:00"/>
        <d v="2025-05-17T17:26:00"/>
        <d v="2025-03-18T01:51:00"/>
        <d v="2025-05-06T19:26:00"/>
        <d v="2025-06-22T20:41:00"/>
        <d v="2025-02-28T12:05:00"/>
        <d v="2025-06-23T17:21:00"/>
        <d v="2025-05-18T06:32:00"/>
        <d v="2025-04-08T08:29:00"/>
        <d v="2025-05-22T20:13:00"/>
        <d v="2025-06-17T02:14:00"/>
        <d v="2025-03-05T08:35:00"/>
        <d v="2025-02-26T09:02:00"/>
        <d v="2025-02-04T14:11:00"/>
        <d v="2025-04-30T17:41:00"/>
        <d v="2025-04-11T22:53:00"/>
        <d v="2025-01-25T21:14:00"/>
        <d v="2025-05-02T18:35:00"/>
        <d v="2025-03-31T00:26:00"/>
        <d v="2025-02-28T07:01:00"/>
        <d v="2025-01-20T20:50:00"/>
        <d v="2025-02-25T16:07:00"/>
        <d v="2025-02-17T14:02:00"/>
        <d v="2025-01-04T08:34:00"/>
        <d v="2025-02-21T01:15:00"/>
        <d v="2025-05-17T23:15:00"/>
        <d v="2025-02-25T13:52:00"/>
        <d v="2025-04-08T17:45:00"/>
        <d v="2025-02-22T21:40:00"/>
        <d v="2025-06-15T04:31:00"/>
        <d v="2025-04-03T03:43:00"/>
        <d v="2025-01-29T02:56:00"/>
        <d v="2025-01-03T11:12:00"/>
        <d v="2025-06-23T12:31:00"/>
        <d v="2025-01-23T11:35:00"/>
        <d v="2025-05-09T03:18:00"/>
        <d v="2025-01-12T00:21:00"/>
        <d v="2025-05-04T02:21:00"/>
        <d v="2025-04-19T03:34:00"/>
        <d v="2025-04-15T06:06:00"/>
        <d v="2025-04-02T12:32:00"/>
        <d v="2025-05-09T17:44:00"/>
        <d v="2025-01-22T02:27:00"/>
        <d v="2025-03-26T22:15:00"/>
        <d v="2025-06-24T17:48:00"/>
        <d v="2025-02-02T03:25:00"/>
        <d v="2025-02-16T15:13:00"/>
        <d v="2025-02-15T07:37:00"/>
        <d v="2025-05-16T16:58:00"/>
        <d v="2025-02-27T00:20:00"/>
        <d v="2025-01-14T03:27:00"/>
        <d v="2025-03-15T11:55:00"/>
        <d v="2025-01-13T03:52:00"/>
        <d v="2025-05-13T01:25:00"/>
        <d v="2025-01-21T18:42:00"/>
        <d v="2025-01-08T05:17:00"/>
        <d v="2025-03-07T06:21:00"/>
        <d v="2025-01-28T04:19:00"/>
        <d v="2025-05-03T14:21:00"/>
        <d v="2025-06-11T17:50:00"/>
        <d v="2025-04-20T20:05:00"/>
        <d v="2025-05-28T09:44:00"/>
        <d v="2025-01-22T16:41:00"/>
        <d v="2025-03-29T21:48:00"/>
        <d v="2025-06-11T05:51:00"/>
        <d v="2025-05-22T04:39:00"/>
        <d v="2025-06-25T02:41:00"/>
        <d v="2025-02-09T06:48:00"/>
        <d v="2025-05-08T23:41:00"/>
        <d v="2025-01-23T10:16:00"/>
        <d v="2025-02-14T05:13:00"/>
        <d v="2025-01-18T17:49:00"/>
        <d v="2025-05-02T05:34:00"/>
        <d v="2025-05-30T03:09:00"/>
        <d v="2025-03-08T03:04:00"/>
        <d v="2025-01-24T11:52:00"/>
        <d v="2025-03-18T23:28:00"/>
        <d v="2025-02-10T19:03:00"/>
        <d v="2025-05-13T05:35:00"/>
        <d v="2025-01-20T15:50:00"/>
        <d v="2025-04-03T09:11:00"/>
        <d v="2025-04-19T23:35:00"/>
        <d v="2025-05-01T10:58:00"/>
        <d v="2025-03-11T13:31:00"/>
        <d v="2025-03-10T17:08:00"/>
        <d v="2025-02-22T16:30:00"/>
        <d v="2025-06-10T17:18:00"/>
        <d v="2025-04-02T19:01:00"/>
        <d v="2025-04-21T21:46:00"/>
        <d v="2025-03-05T03:01:00"/>
        <d v="2025-01-02T16:47:00"/>
        <d v="2025-01-28T18:01:00"/>
        <d v="2025-02-15T10:01:00"/>
        <d v="2025-01-26T04:48:00"/>
        <d v="2025-03-31T14:02:00"/>
        <d v="2025-01-14T06:33:00"/>
        <d v="2025-05-22T09:44:00"/>
        <d v="2025-04-24T11:37:00"/>
        <d v="2025-05-28T02:08:00"/>
        <d v="2025-05-06T21:16:00"/>
        <d v="2025-04-25T06:39:00"/>
        <d v="2025-02-24T17:48:00"/>
        <d v="2025-03-03T08:42:00"/>
        <d v="2025-01-28T13:08:00"/>
        <d v="2025-03-25T18:00:00"/>
        <d v="2025-02-15T12:20:00"/>
        <d v="2025-05-21T14:57:00"/>
        <d v="2025-02-08T09:24:00"/>
        <d v="2025-05-01T22:53:00"/>
        <d v="2025-04-15T05:49:00"/>
        <d v="2025-05-03T14:28:00"/>
        <d v="2025-02-15T23:59:00"/>
        <d v="2025-02-13T00:20:00"/>
        <d v="2025-01-03T00:44:00"/>
        <d v="2025-04-30T02:09:00"/>
        <d v="2025-02-23T21:40:00"/>
        <d v="2025-04-23T23:26:00"/>
        <d v="2025-06-17T15:18:00"/>
        <d v="2025-01-11T14:03:00"/>
        <d v="2025-04-08T00:24:00"/>
        <d v="2025-05-11T22:18:00"/>
        <d v="2025-04-03T03:05:00"/>
        <d v="2025-04-05T19:14:00"/>
        <d v="2025-02-22T05:40:00"/>
        <d v="2025-04-28T20:01:00"/>
        <d v="2025-01-17T08:41:00"/>
        <d v="2025-06-07T00:15:00"/>
        <d v="2025-05-15T14:33:00"/>
        <d v="2025-06-02T08:20:00"/>
        <d v="2025-03-24T19:16:00"/>
        <d v="2025-01-18T04:47:00"/>
        <d v="2025-06-28T23:03:00"/>
        <d v="2025-01-31T23:12:00"/>
        <d v="2025-04-20T08:35:00"/>
        <d v="2025-05-06T02:36:00"/>
        <d v="2025-06-20T03:29:00"/>
        <d v="2025-01-28T07:42:00"/>
        <d v="2025-01-30T12:01:00"/>
        <d v="2025-06-02T12:09:00"/>
        <d v="2025-06-21T02:16:00"/>
        <d v="2025-04-23T03:49:00"/>
        <d v="2025-01-28T00:06:00"/>
        <d v="2025-06-15T05:38:00"/>
        <d v="2025-01-09T00:05:00"/>
        <d v="2025-03-19T15:07:00"/>
        <d v="2025-03-02T09:07:00"/>
        <d v="2025-03-09T21:05:00"/>
        <d v="2025-06-07T23:37:00"/>
        <d v="2025-03-05T08:41:00"/>
        <d v="2025-05-03T11:35:00"/>
        <d v="2025-03-17T07:23:00"/>
        <d v="2025-01-27T02:20:00"/>
        <d v="2025-01-31T07:14:00"/>
        <d v="2025-01-18T07:49:00"/>
        <d v="2025-03-21T15:57:00"/>
        <d v="2025-06-24T13:38:00"/>
        <d v="2025-03-18T07:06:00"/>
        <d v="2025-06-02T02:43:00"/>
        <d v="2025-02-08T04:12:00"/>
        <d v="2025-06-02T13:22:00"/>
        <d v="2025-05-11T14:51:00"/>
        <d v="2025-03-31T14:16:00"/>
        <d v="2025-05-30T09:29:00"/>
        <d v="2025-05-28T12:27:00"/>
        <d v="2025-05-07T12:07:00"/>
        <d v="2025-01-21T12:57:00"/>
        <d v="2025-03-03T10:17:00"/>
        <d v="2025-01-20T09:54:00"/>
        <d v="2025-02-21T01:20:00"/>
        <d v="2025-01-12T22:27:00"/>
        <d v="2025-02-09T11:48:00"/>
        <d v="2025-03-07T06:53:00"/>
        <d v="2025-01-19T01:11:00"/>
        <d v="2025-05-11T21:53:00"/>
        <d v="2025-04-06T14:48:00"/>
        <d v="2025-03-24T22:18:00"/>
        <d v="2025-02-18T09:13:00"/>
        <d v="2025-04-11T19:47:00"/>
        <d v="2025-02-09T01:09:00"/>
        <d v="2025-06-22T07:30:00"/>
        <d v="2025-06-12T17:17:00"/>
        <d v="2025-04-19T22:25:00"/>
        <d v="2025-02-01T14:05:00"/>
        <d v="2025-06-28T21:06:00"/>
        <d v="2025-04-06T17:59:00"/>
        <d v="2025-03-29T05:23:00"/>
        <d v="2025-06-17T18:36:00"/>
        <d v="2025-06-26T09:08:00"/>
        <d v="2025-06-01T15:49:00"/>
        <d v="2025-03-31T17:23:00"/>
        <d v="2025-05-31T22:58:00"/>
        <d v="2025-02-17T00:47:00"/>
        <d v="2025-05-13T07:57:00"/>
        <d v="2025-03-21T17:24:00"/>
        <d v="2025-05-09T16:26:00"/>
        <d v="2025-01-01T13:05:00"/>
        <d v="2025-02-02T18:13:00"/>
        <d v="2025-02-03T13:32:00"/>
        <d v="2025-03-15T04:11:00"/>
        <d v="2025-01-27T22:49:00"/>
        <d v="2025-01-05T14:58:00"/>
        <d v="2025-01-01T00:42:00"/>
        <d v="2025-04-28T19:11:00"/>
        <d v="2025-02-24T20:47:00"/>
        <d v="2025-03-24T22:14:00"/>
        <d v="2025-04-04T21:46:00"/>
        <d v="2025-01-05T11:21:00"/>
        <d v="2025-02-07T00:02:00"/>
        <d v="2025-03-19T18:46:00"/>
        <d v="2025-03-10T20:26:00"/>
        <d v="2025-04-07T21:38:00"/>
        <d v="2025-06-04T16:25:00"/>
        <d v="2025-06-25T09:52:00"/>
        <d v="2025-05-17T00:41:00"/>
        <d v="2025-03-27T13:17:00"/>
        <d v="2025-03-27T10:57:00"/>
        <d v="2025-01-20T14:51:00"/>
        <d v="2025-06-06T07:40:00"/>
        <d v="2025-01-03T09:36:00"/>
        <d v="2025-04-25T11:32:00"/>
        <d v="2025-01-12T20:53:00"/>
        <d v="2025-01-12T23:29:00"/>
        <d v="2025-06-21T15:13:00"/>
        <d v="2025-04-07T02:43:00"/>
        <d v="2025-03-27T13:52:00"/>
        <d v="2025-03-30T06:26:00"/>
        <d v="2025-03-11T14:57:00"/>
        <d v="2025-01-19T02:20:00"/>
        <d v="2025-03-24T19:30:00"/>
        <d v="2025-05-30T15:32:00"/>
        <d v="2025-02-22T16:38:00"/>
        <d v="2025-03-13T04:57:00"/>
        <d v="2025-01-28T15:12:00"/>
        <d v="2025-01-16T22:08:00"/>
        <d v="2025-04-01T03:36:00"/>
        <d v="2025-01-19T22:20:00"/>
        <d v="2025-01-09T19:39:00"/>
        <d v="2025-01-12T20:49:00"/>
        <d v="2025-04-17T10:59:00"/>
        <d v="2025-02-24T06:52:00"/>
        <d v="2025-01-27T12:32:00"/>
        <d v="2025-06-18T18:36:00"/>
        <d v="2025-05-26T12:43:00"/>
        <d v="2025-05-12T21:40:00"/>
        <d v="2025-02-13T21:39:00"/>
        <d v="2025-02-04T01:22:00"/>
        <d v="2025-02-14T14:58:00"/>
        <d v="2025-01-28T07:27:00"/>
        <d v="2025-01-17T09:45:00"/>
        <d v="2025-03-21T17:00:00"/>
        <d v="2025-03-16T12:55:00"/>
        <d v="2025-06-21T23:44:00"/>
        <d v="2025-02-03T12:55:00"/>
        <d v="2025-02-12T10:54:00"/>
        <d v="2025-01-21T14:28:00"/>
        <d v="2025-04-19T07:11:00"/>
        <d v="2025-04-24T21:13:00"/>
        <d v="2025-02-28T06:57:00"/>
        <d v="2025-04-03T07:08:00"/>
        <d v="2025-03-17T05:02:00"/>
        <d v="2025-02-24T23:01:00"/>
        <d v="2025-06-15T02:39:00"/>
        <d v="2025-01-04T22:39:00"/>
        <d v="2025-04-27T23:33:00"/>
        <d v="2025-03-17T06:48:00"/>
        <d v="2025-06-29T12:17:00"/>
        <d v="2025-05-15T17:32:00"/>
        <d v="2025-06-02T17:01:00"/>
        <d v="2025-03-08T17:59:00"/>
        <d v="2025-05-10T20:01:00"/>
        <d v="2025-04-27T10:35:00"/>
        <d v="2025-02-02T03:24:00"/>
        <d v="2025-06-13T08:49:00"/>
        <d v="2025-06-19T11:04:00"/>
        <d v="2025-04-21T05:43:00"/>
        <d v="2025-03-07T03:57:00"/>
        <d v="2025-04-11T14:49:00"/>
        <d v="2025-02-10T14:53:00"/>
        <d v="2025-06-17T20:56:00"/>
        <d v="2025-01-30T12:16:00"/>
        <d v="2025-02-07T18:37:00"/>
        <d v="2025-06-10T15:29:00"/>
        <d v="2025-04-09T01:10:00"/>
        <d v="2025-02-14T22:35:00"/>
        <d v="2025-05-23T13:38:00"/>
        <d v="2025-05-14T20:17:00"/>
        <d v="2025-05-27T03:17:00"/>
        <d v="2025-03-26T07:24:00"/>
        <d v="2025-01-30T05:42:00"/>
        <d v="2025-04-02T14:06:00"/>
        <d v="2025-03-12T01:35:00"/>
        <d v="2025-01-13T09:31:00"/>
        <d v="2025-05-13T14:09:00"/>
        <d v="2025-04-10T02:46:00"/>
        <d v="2025-01-16T19:40:00"/>
        <d v="2025-04-25T07:57:00"/>
        <d v="2025-03-20T19:47:00"/>
        <d v="2025-02-22T13:24:00"/>
        <d v="2025-06-24T07:02:00"/>
        <d v="2025-04-05T05:38:00"/>
        <d v="2025-05-04T08:46:00"/>
        <d v="2025-02-04T14:42:00"/>
        <d v="2025-05-20T15:11:00"/>
        <d v="2025-05-16T11:49:00"/>
        <d v="2025-05-18T14:08:00"/>
        <d v="2025-02-12T13:31:00"/>
        <d v="2025-06-28T12:31:00"/>
        <d v="2025-02-24T02:26:00"/>
        <d v="2025-04-01T09:48:00"/>
        <d v="2025-06-09T17:01:00"/>
        <d v="2025-04-08T08:48:00"/>
        <d v="2025-04-21T11:40:00"/>
        <d v="2025-05-26T19:42:00"/>
        <d v="2025-01-22T07:46:00"/>
        <d v="2025-04-26T22:38:00"/>
        <d v="2025-03-14T22:55:00"/>
        <d v="2025-02-14T15:33:00"/>
        <d v="2025-01-24T15:22:00"/>
        <d v="2025-03-26T13:44:00"/>
        <d v="2025-04-27T17:09:00"/>
        <d v="2025-02-08T14:34:00"/>
        <d v="2025-01-26T16:58:00"/>
        <d v="2025-03-23T20:45:00"/>
        <d v="2025-02-07T07:33:00"/>
        <d v="2025-01-21T19:55:00"/>
        <d v="2025-02-20T12:54:00"/>
        <d v="2025-03-17T10:47:00"/>
        <d v="2025-06-29T09:41:00"/>
        <d v="2025-03-09T01:08:00"/>
        <d v="2025-06-02T16:18:00"/>
        <d v="2025-04-16T10:52:00"/>
        <d v="2025-04-16T11:55:00"/>
        <d v="2025-03-25T03:00:00"/>
        <d v="2025-04-23T02:30:00"/>
        <d v="2025-01-25T17:43:00"/>
        <d v="2025-04-13T23:28:00"/>
        <d v="2025-04-26T05:57:00"/>
        <d v="2025-02-05T07:50:00"/>
        <d v="2025-02-10T14:26:00"/>
        <d v="2025-04-30T03:17:00"/>
        <d v="2025-02-10T15:32:00"/>
        <d v="2025-01-24T12:32:00"/>
        <d v="2025-03-22T13:09:00"/>
        <d v="2025-04-16T10:45:00"/>
        <d v="2025-04-15T20:59:00"/>
        <d v="2025-02-15T01:53:00"/>
        <d v="2025-03-05T00:16:00"/>
        <d v="2025-06-29T17:58:00"/>
        <d v="2025-03-30T20:42:00"/>
        <d v="2025-04-29T01:35:00"/>
        <d v="2025-06-14T23:31:00"/>
        <d v="2025-04-12T02:23:00"/>
        <d v="2025-06-29T05:05:00"/>
        <d v="2025-06-12T08:50:00"/>
        <d v="2025-01-22T08:09:00"/>
        <d v="2025-01-23T05:27:00"/>
        <d v="2025-05-17T16:59:00"/>
        <d v="2025-02-17T20:42:00"/>
        <d v="2025-04-04T10:12:00"/>
        <d v="2025-06-02T12:39:00"/>
        <d v="2025-02-04T06:52:00"/>
        <d v="2025-04-17T22:53:00"/>
        <d v="2025-05-11T11:03:00"/>
        <d v="2025-01-04T07:02:00"/>
        <d v="2025-01-10T17:51:00"/>
        <d v="2025-02-23T14:19:00"/>
        <d v="2025-02-26T04:12:00"/>
        <d v="2025-01-06T02:12:00"/>
        <d v="2025-01-16T02:17:00"/>
        <d v="2025-05-25T06:53:00"/>
        <d v="2025-06-02T19:57:00"/>
        <d v="2025-05-14T13:34:00"/>
        <d v="2025-05-18T11:56:00"/>
        <d v="2025-01-10T05:17:00"/>
        <d v="2025-03-21T08:53:00"/>
        <d v="2025-02-24T13:47:00"/>
        <d v="2025-02-26T21:34:00"/>
        <d v="2025-05-09T03:55:00"/>
        <d v="2025-04-02T06:10:00"/>
        <d v="2025-01-13T22:07:00"/>
        <d v="2025-06-26T15:51:00"/>
        <d v="2025-05-10T15:54:00"/>
        <d v="2025-05-11T17:13:00"/>
        <d v="2025-02-12T15:08:00"/>
        <d v="2025-01-31T12:13:00"/>
        <d v="2025-03-06T06:39:00"/>
        <d v="2025-06-25T04:01:00"/>
        <d v="2025-04-26T20:25:00"/>
        <d v="2025-01-02T18:38:00"/>
      </sharedItems>
      <fieldGroup par="13"/>
    </cacheField>
    <cacheField name="resolved_date" numFmtId="0">
      <sharedItems containsNonDate="0" containsDate="1" containsString="0" containsBlank="1" minDate="2025-01-02T18:32:00" maxDate="2025-07-01T17:18:00"/>
    </cacheField>
    <cacheField name="category" numFmtId="0">
      <sharedItems containsBlank="1"/>
    </cacheField>
    <cacheField name="channel" numFmtId="0">
      <sharedItems/>
    </cacheField>
    <cacheField name="priority" numFmtId="0">
      <sharedItems count="4">
        <s v="High"/>
        <s v="Urgent"/>
        <s v="Low"/>
        <s v="Medium"/>
      </sharedItems>
    </cacheField>
    <cacheField name="status" numFmtId="0">
      <sharedItems count="3">
        <s v="Resolved"/>
        <s v="Escalated"/>
        <s v="Pending"/>
      </sharedItems>
    </cacheField>
    <cacheField name="agent" numFmtId="0">
      <sharedItems count="9">
        <s v="Priya Sharma"/>
        <s v="Aisha Khan"/>
        <s v="Omar Hassan"/>
        <s v="Maria Garcia"/>
        <s v="Sarah Ahmed"/>
        <s v="Daniel Lee"/>
        <s v="James Wilson"/>
        <s v="Fatima Ali"/>
        <s v="Sarah Ahmed " u="1"/>
      </sharedItems>
    </cacheField>
    <cacheField name="resolution_time_hours" numFmtId="0">
      <sharedItems containsString="0" containsBlank="1" containsNumber="1" minValue="0.6" maxValue="72"/>
    </cacheField>
    <cacheField name="customer_satisfaction" numFmtId="0">
      <sharedItems containsString="0" containsBlank="1" containsNumber="1" containsInteger="1" minValue="1" maxValue="5"/>
    </cacheField>
    <cacheField name="clean_category" numFmtId="0">
      <sharedItems count="7">
        <s v="Technical Issue"/>
        <s v="Account"/>
        <s v="Product Information"/>
        <s v="Payment"/>
        <s v="Refund"/>
        <s v="Delivery"/>
        <s v=""/>
      </sharedItems>
    </cacheField>
    <cacheField name="channel_updated" numFmtId="0">
      <sharedItems count="4">
        <s v="Phone"/>
        <s v="Email"/>
        <s v="Chat"/>
        <s v="Social Media"/>
      </sharedItems>
    </cacheField>
    <cacheField name="Days (created_date)" numFmtId="0" databaseField="0">
      <fieldGroup base="1">
        <rangePr groupBy="days" startDate="2025-01-01T00:42:00" endDate="2025-06-29T17:58: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9-06-2025"/>
        </groupItems>
      </fieldGroup>
    </cacheField>
    <cacheField name="Months (created_date)" numFmtId="0" databaseField="0">
      <fieldGroup base="1">
        <rangePr groupBy="months" startDate="2025-01-01T00:42:00" endDate="2025-06-29T17:58:00"/>
        <groupItems count="14">
          <s v="&lt;01-01-2025"/>
          <s v="Jan"/>
          <s v="Feb"/>
          <s v="Mar"/>
          <s v="Apr"/>
          <s v="May"/>
          <s v="Jun"/>
          <s v="Jul"/>
          <s v="Aug"/>
          <s v="Sep"/>
          <s v="Oct"/>
          <s v="Nov"/>
          <s v="Dec"/>
          <s v="&gt;29-06-2025"/>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TKT-0112"/>
    <x v="0"/>
    <d v="2025-02-13T02:07:00"/>
    <s v="Technical Issue"/>
    <s v="Phone"/>
    <x v="0"/>
    <x v="0"/>
    <x v="0"/>
    <n v="3.8"/>
    <n v="1"/>
    <x v="0"/>
    <x v="0"/>
  </r>
  <r>
    <s v="TKT-0345"/>
    <x v="1"/>
    <d v="2025-03-22T03:03:00"/>
    <s v="Account"/>
    <s v="Email"/>
    <x v="1"/>
    <x v="0"/>
    <x v="1"/>
    <n v="4.5999999999999996"/>
    <n v="1"/>
    <x v="1"/>
    <x v="1"/>
  </r>
  <r>
    <s v="TKT-0158"/>
    <x v="2"/>
    <d v="2025-02-26T16:49:00"/>
    <s v="Product Information"/>
    <s v="Chat"/>
    <x v="0"/>
    <x v="0"/>
    <x v="2"/>
    <n v="6"/>
    <n v="1"/>
    <x v="2"/>
    <x v="2"/>
  </r>
  <r>
    <s v="TKT-0366"/>
    <x v="3"/>
    <d v="2025-05-24T06:53:00"/>
    <s v="Payment"/>
    <s v="Email"/>
    <x v="2"/>
    <x v="0"/>
    <x v="1"/>
    <n v="7.3"/>
    <n v="1"/>
    <x v="3"/>
    <x v="1"/>
  </r>
  <r>
    <s v="TKT-0469"/>
    <x v="4"/>
    <d v="2025-02-11T20:43:00"/>
    <s v="Refund"/>
    <s v="Phone"/>
    <x v="3"/>
    <x v="0"/>
    <x v="1"/>
    <n v="11"/>
    <n v="1"/>
    <x v="4"/>
    <x v="0"/>
  </r>
  <r>
    <s v="TKT-0389"/>
    <x v="5"/>
    <d v="2025-05-04T06:47:00"/>
    <s v="Delivery"/>
    <s v="Phone"/>
    <x v="2"/>
    <x v="0"/>
    <x v="2"/>
    <n v="12.1"/>
    <n v="1"/>
    <x v="5"/>
    <x v="0"/>
  </r>
  <r>
    <s v="TKT-0240"/>
    <x v="6"/>
    <d v="2025-02-05T06:47:00"/>
    <s v="Technical Issue"/>
    <s v="Chat"/>
    <x v="1"/>
    <x v="0"/>
    <x v="3"/>
    <n v="14.3"/>
    <n v="1"/>
    <x v="0"/>
    <x v="2"/>
  </r>
  <r>
    <s v="TKT-0020"/>
    <x v="7"/>
    <d v="2025-01-20T15:34:00"/>
    <s v="Technical Issue"/>
    <s v="Email"/>
    <x v="3"/>
    <x v="0"/>
    <x v="3"/>
    <n v="16.899999999999999"/>
    <n v="1"/>
    <x v="0"/>
    <x v="1"/>
  </r>
  <r>
    <s v="TKT-0342"/>
    <x v="8"/>
    <d v="2025-01-06T13:16:00"/>
    <s v="Delivery"/>
    <s v="Social Media"/>
    <x v="0"/>
    <x v="0"/>
    <x v="0"/>
    <n v="19.2"/>
    <n v="1"/>
    <x v="5"/>
    <x v="3"/>
  </r>
  <r>
    <s v="TKT-0057"/>
    <x v="9"/>
    <d v="2025-05-15T11:46:00"/>
    <s v="Refund"/>
    <s v="Phone"/>
    <x v="3"/>
    <x v="0"/>
    <x v="3"/>
    <n v="20.100000000000001"/>
    <n v="1"/>
    <x v="4"/>
    <x v="0"/>
  </r>
  <r>
    <s v="TKT-0494"/>
    <x v="10"/>
    <d v="2025-06-22T17:09:00"/>
    <s v="Payment"/>
    <s v="Phone"/>
    <x v="1"/>
    <x v="0"/>
    <x v="4"/>
    <n v="20.9"/>
    <n v="1"/>
    <x v="3"/>
    <x v="0"/>
  </r>
  <r>
    <s v="TKT-0320"/>
    <x v="11"/>
    <d v="2025-04-20T01:35:00"/>
    <s v="Account"/>
    <s v="Phone"/>
    <x v="0"/>
    <x v="0"/>
    <x v="5"/>
    <n v="21.8"/>
    <n v="1"/>
    <x v="1"/>
    <x v="0"/>
  </r>
  <r>
    <s v="TKT-0429"/>
    <x v="12"/>
    <d v="2025-01-22T14:15:00"/>
    <s v="Delivery"/>
    <s v="Social Media"/>
    <x v="0"/>
    <x v="0"/>
    <x v="6"/>
    <n v="22.9"/>
    <n v="1"/>
    <x v="5"/>
    <x v="3"/>
  </r>
  <r>
    <s v="TKT-0481"/>
    <x v="13"/>
    <d v="2025-01-13T09:21:00"/>
    <s v="Delivery"/>
    <s v="Chat"/>
    <x v="2"/>
    <x v="0"/>
    <x v="5"/>
    <n v="23.4"/>
    <n v="1"/>
    <x v="5"/>
    <x v="2"/>
  </r>
  <r>
    <s v="TKT-0387"/>
    <x v="14"/>
    <d v="2025-03-10T07:51:00"/>
    <s v="Refund"/>
    <s v="Email"/>
    <x v="2"/>
    <x v="0"/>
    <x v="0"/>
    <n v="25.6"/>
    <n v="1"/>
    <x v="4"/>
    <x v="1"/>
  </r>
  <r>
    <s v="TKT-0186"/>
    <x v="15"/>
    <d v="2025-04-07T10:47:00"/>
    <s v="Technical Issue"/>
    <s v="Chat"/>
    <x v="2"/>
    <x v="0"/>
    <x v="2"/>
    <n v="26"/>
    <n v="1"/>
    <x v="0"/>
    <x v="2"/>
  </r>
  <r>
    <s v="TKT-0251"/>
    <x v="16"/>
    <d v="2025-06-23T14:34:00"/>
    <s v="Refund"/>
    <s v="Chat"/>
    <x v="2"/>
    <x v="0"/>
    <x v="1"/>
    <n v="28.8"/>
    <n v="1"/>
    <x v="4"/>
    <x v="2"/>
  </r>
  <r>
    <s v="TKT-0009"/>
    <x v="17"/>
    <d v="2025-03-01T07:03:00"/>
    <s v="Payment"/>
    <s v="Phone"/>
    <x v="3"/>
    <x v="0"/>
    <x v="4"/>
    <n v="29.2"/>
    <n v="1"/>
    <x v="3"/>
    <x v="0"/>
  </r>
  <r>
    <s v="TKT-0242"/>
    <x v="18"/>
    <d v="2025-04-21T21:32:00"/>
    <s v="Payment"/>
    <s v="Chat"/>
    <x v="1"/>
    <x v="0"/>
    <x v="2"/>
    <n v="29.2"/>
    <n v="1"/>
    <x v="3"/>
    <x v="2"/>
  </r>
  <r>
    <s v="TKT-0440"/>
    <x v="19"/>
    <d v="2025-06-11T02:08:00"/>
    <s v="Product Information"/>
    <s v="Email"/>
    <x v="0"/>
    <x v="0"/>
    <x v="5"/>
    <n v="30.4"/>
    <n v="1"/>
    <x v="2"/>
    <x v="1"/>
  </r>
  <r>
    <s v="TKT-0358"/>
    <x v="20"/>
    <d v="2025-01-28T13:03:00"/>
    <s v="Payment"/>
    <s v="Phone"/>
    <x v="2"/>
    <x v="0"/>
    <x v="1"/>
    <n v="30.5"/>
    <n v="1"/>
    <x v="3"/>
    <x v="0"/>
  </r>
  <r>
    <s v="TKT-0032"/>
    <x v="21"/>
    <d v="2025-03-10T21:20:00"/>
    <s v="Delivery"/>
    <s v="Social Media"/>
    <x v="2"/>
    <x v="0"/>
    <x v="5"/>
    <n v="33.200000000000003"/>
    <n v="1"/>
    <x v="5"/>
    <x v="3"/>
  </r>
  <r>
    <s v="TKT-0359"/>
    <x v="22"/>
    <d v="2025-03-03T01:44:00"/>
    <s v="Product Information"/>
    <s v="Email"/>
    <x v="3"/>
    <x v="0"/>
    <x v="0"/>
    <n v="33.299999999999997"/>
    <n v="1"/>
    <x v="2"/>
    <x v="1"/>
  </r>
  <r>
    <s v="TKT-0115"/>
    <x v="23"/>
    <d v="2025-03-03T00:04:00"/>
    <s v="Account"/>
    <s v="Phone"/>
    <x v="3"/>
    <x v="0"/>
    <x v="5"/>
    <n v="33.4"/>
    <n v="1"/>
    <x v="1"/>
    <x v="0"/>
  </r>
  <r>
    <s v="TKT-0162"/>
    <x v="24"/>
    <d v="2025-04-03T01:34:00"/>
    <s v="Delivery"/>
    <s v="Phone"/>
    <x v="0"/>
    <x v="0"/>
    <x v="5"/>
    <n v="33.5"/>
    <n v="1"/>
    <x v="5"/>
    <x v="0"/>
  </r>
  <r>
    <s v="TKT-0067"/>
    <x v="25"/>
    <d v="2025-06-10T14:39:00"/>
    <s v="Product Information"/>
    <s v="Chat"/>
    <x v="1"/>
    <x v="0"/>
    <x v="3"/>
    <n v="34.4"/>
    <n v="1"/>
    <x v="2"/>
    <x v="2"/>
  </r>
  <r>
    <s v="TKT-0430"/>
    <x v="26"/>
    <d v="2025-02-15T06:18:00"/>
    <s v="Payment"/>
    <s v="Social Media"/>
    <x v="1"/>
    <x v="0"/>
    <x v="0"/>
    <n v="35.5"/>
    <n v="1"/>
    <x v="3"/>
    <x v="3"/>
  </r>
  <r>
    <s v="TKT-0292"/>
    <x v="27"/>
    <d v="2025-02-06T20:07:00"/>
    <s v="Payment"/>
    <s v="Social Media"/>
    <x v="0"/>
    <x v="0"/>
    <x v="0"/>
    <n v="35.799999999999997"/>
    <n v="1"/>
    <x v="3"/>
    <x v="3"/>
  </r>
  <r>
    <s v="TKT-0107"/>
    <x v="28"/>
    <d v="2025-04-10T00:36:00"/>
    <s v="Payment"/>
    <s v="Phone"/>
    <x v="2"/>
    <x v="0"/>
    <x v="4"/>
    <n v="35.9"/>
    <n v="1"/>
    <x v="3"/>
    <x v="0"/>
  </r>
  <r>
    <s v="TKT-0335"/>
    <x v="29"/>
    <d v="2025-06-16T11:33:00"/>
    <s v="Product Information"/>
    <s v="Chat"/>
    <x v="1"/>
    <x v="0"/>
    <x v="2"/>
    <n v="38.4"/>
    <n v="1"/>
    <x v="2"/>
    <x v="2"/>
  </r>
  <r>
    <s v="TKT-0258"/>
    <x v="30"/>
    <d v="2025-01-14T03:34:00"/>
    <s v="Payment"/>
    <s v="Phone"/>
    <x v="3"/>
    <x v="0"/>
    <x v="2"/>
    <n v="39.1"/>
    <n v="1"/>
    <x v="3"/>
    <x v="0"/>
  </r>
  <r>
    <s v="TKT-0252"/>
    <x v="31"/>
    <d v="2025-04-21T02:56:00"/>
    <s v="Delivery"/>
    <s v="Social Media"/>
    <x v="2"/>
    <x v="0"/>
    <x v="3"/>
    <n v="39.200000000000003"/>
    <n v="1"/>
    <x v="5"/>
    <x v="3"/>
  </r>
  <r>
    <s v="TKT-0219"/>
    <x v="32"/>
    <d v="2025-05-28T09:18:00"/>
    <s v="Account"/>
    <s v="Social Media"/>
    <x v="0"/>
    <x v="0"/>
    <x v="5"/>
    <n v="40.1"/>
    <n v="1"/>
    <x v="1"/>
    <x v="3"/>
  </r>
  <r>
    <s v="TKT-0087"/>
    <x v="33"/>
    <d v="2025-03-20T11:39:00"/>
    <s v="Product Information"/>
    <s v="Email"/>
    <x v="3"/>
    <x v="0"/>
    <x v="6"/>
    <n v="41.2"/>
    <n v="1"/>
    <x v="2"/>
    <x v="1"/>
  </r>
  <r>
    <s v="TKT-0353"/>
    <x v="34"/>
    <d v="2025-03-25T02:16:00"/>
    <s v="Product Information"/>
    <s v="Email"/>
    <x v="3"/>
    <x v="0"/>
    <x v="6"/>
    <n v="41.4"/>
    <n v="1"/>
    <x v="2"/>
    <x v="1"/>
  </r>
  <r>
    <s v="TKT-0379"/>
    <x v="35"/>
    <d v="2025-01-11T21:33:00"/>
    <s v="Product Information"/>
    <s v="Social Media"/>
    <x v="2"/>
    <x v="0"/>
    <x v="2"/>
    <n v="43.5"/>
    <n v="1"/>
    <x v="2"/>
    <x v="3"/>
  </r>
  <r>
    <s v="TKT-0047"/>
    <x v="36"/>
    <d v="2025-01-20T19:04:00"/>
    <s v="Refund"/>
    <s v="Phone"/>
    <x v="0"/>
    <x v="0"/>
    <x v="0"/>
    <n v="45.1"/>
    <n v="1"/>
    <x v="4"/>
    <x v="0"/>
  </r>
  <r>
    <s v="TKT-0357"/>
    <x v="37"/>
    <d v="2025-01-09T05:34:00"/>
    <s v="Technical Issue"/>
    <s v="Email"/>
    <x v="1"/>
    <x v="0"/>
    <x v="3"/>
    <n v="46"/>
    <n v="1"/>
    <x v="0"/>
    <x v="1"/>
  </r>
  <r>
    <s v="TKT-0386"/>
    <x v="38"/>
    <d v="2025-03-04T09:20:00"/>
    <s v="Refund"/>
    <s v="Phone"/>
    <x v="1"/>
    <x v="0"/>
    <x v="1"/>
    <n v="46"/>
    <n v="1"/>
    <x v="4"/>
    <x v="0"/>
  </r>
  <r>
    <s v="TKT-0066"/>
    <x v="39"/>
    <d v="2025-05-21T00:22:00"/>
    <s v="Delivery"/>
    <s v="Chat"/>
    <x v="3"/>
    <x v="0"/>
    <x v="1"/>
    <n v="47"/>
    <n v="1"/>
    <x v="5"/>
    <x v="2"/>
  </r>
  <r>
    <s v="TKT-0166"/>
    <x v="40"/>
    <d v="2025-03-16T13:26:00"/>
    <s v="Refund"/>
    <s v="Phone"/>
    <x v="2"/>
    <x v="0"/>
    <x v="2"/>
    <n v="49"/>
    <n v="1"/>
    <x v="4"/>
    <x v="0"/>
  </r>
  <r>
    <s v="TKT-0439"/>
    <x v="41"/>
    <d v="2025-05-05T00:21:00"/>
    <s v="Technical Issue"/>
    <s v="Social Media"/>
    <x v="2"/>
    <x v="0"/>
    <x v="3"/>
    <n v="50.2"/>
    <n v="1"/>
    <x v="0"/>
    <x v="3"/>
  </r>
  <r>
    <s v="TKT-0192"/>
    <x v="42"/>
    <d v="2025-04-07T20:47:00"/>
    <s v="Account"/>
    <s v="Chat"/>
    <x v="0"/>
    <x v="0"/>
    <x v="2"/>
    <n v="52.5"/>
    <n v="1"/>
    <x v="1"/>
    <x v="2"/>
  </r>
  <r>
    <s v="TKT-0120"/>
    <x v="43"/>
    <d v="2025-06-13T04:56:00"/>
    <s v="Product Information"/>
    <s v="Phone"/>
    <x v="3"/>
    <x v="0"/>
    <x v="5"/>
    <n v="56.9"/>
    <n v="1"/>
    <x v="2"/>
    <x v="0"/>
  </r>
  <r>
    <s v="TKT-0322"/>
    <x v="44"/>
    <d v="2025-06-09T15:32:00"/>
    <s v="Product Information"/>
    <s v="Phone"/>
    <x v="0"/>
    <x v="0"/>
    <x v="7"/>
    <n v="58.7"/>
    <n v="1"/>
    <x v="2"/>
    <x v="0"/>
  </r>
  <r>
    <s v="TKT-0074"/>
    <x v="45"/>
    <d v="2025-06-03T20:14:00"/>
    <s v="Technical Issue"/>
    <s v="Social Media"/>
    <x v="3"/>
    <x v="0"/>
    <x v="4"/>
    <n v="59.9"/>
    <n v="1"/>
    <x v="0"/>
    <x v="3"/>
  </r>
  <r>
    <s v="TKT-0298"/>
    <x v="46"/>
    <d v="2025-02-26T02:45:00"/>
    <s v="Account"/>
    <s v="Social Media"/>
    <x v="3"/>
    <x v="0"/>
    <x v="3"/>
    <n v="59.9"/>
    <n v="1"/>
    <x v="1"/>
    <x v="3"/>
  </r>
  <r>
    <s v="TKT-0255"/>
    <x v="47"/>
    <d v="2025-05-18T16:58:00"/>
    <s v="Technical Issue"/>
    <s v="Social Media"/>
    <x v="1"/>
    <x v="0"/>
    <x v="0"/>
    <n v="60.2"/>
    <n v="1"/>
    <x v="0"/>
    <x v="3"/>
  </r>
  <r>
    <s v="TKT-0232"/>
    <x v="48"/>
    <d v="2025-02-10T05:50:00"/>
    <s v="Technical Issue"/>
    <s v=" Phone"/>
    <x v="0"/>
    <x v="0"/>
    <x v="4"/>
    <n v="68.8"/>
    <n v="1"/>
    <x v="0"/>
    <x v="0"/>
  </r>
  <r>
    <s v="TKT-0489"/>
    <x v="49"/>
    <d v="2025-06-26T20:41:00"/>
    <s v="Product Information"/>
    <s v="Chat"/>
    <x v="2"/>
    <x v="0"/>
    <x v="1"/>
    <n v="69"/>
    <n v="1"/>
    <x v="2"/>
    <x v="2"/>
  </r>
  <r>
    <s v="TKT-0111"/>
    <x v="50"/>
    <d v="2025-06-14T21:46:00"/>
    <s v="Account"/>
    <s v="Email"/>
    <x v="2"/>
    <x v="0"/>
    <x v="4"/>
    <n v="71.8"/>
    <n v="1"/>
    <x v="1"/>
    <x v="1"/>
  </r>
  <r>
    <s v="TKT-0468"/>
    <x v="51"/>
    <d v="2025-04-19T02:51:00"/>
    <s v="Delivery"/>
    <s v="Email"/>
    <x v="3"/>
    <x v="0"/>
    <x v="3"/>
    <n v="2.2999999999999998"/>
    <n v="2"/>
    <x v="5"/>
    <x v="1"/>
  </r>
  <r>
    <s v="TKT-0431"/>
    <x v="52"/>
    <d v="2025-04-20T18:36:00"/>
    <s v="Refund"/>
    <s v="Phone"/>
    <x v="2"/>
    <x v="0"/>
    <x v="2"/>
    <n v="3.2"/>
    <n v="2"/>
    <x v="4"/>
    <x v="0"/>
  </r>
  <r>
    <s v="TKT-0006"/>
    <x v="53"/>
    <d v="2025-05-28T10:33:00"/>
    <s v="Technical Issue"/>
    <s v="Email"/>
    <x v="3"/>
    <x v="0"/>
    <x v="5"/>
    <n v="3.8"/>
    <n v="2"/>
    <x v="0"/>
    <x v="1"/>
  </r>
  <r>
    <s v="TKT-0274"/>
    <x v="54"/>
    <d v="2025-01-02T18:32:00"/>
    <s v="Delivery"/>
    <s v="Chat"/>
    <x v="1"/>
    <x v="0"/>
    <x v="2"/>
    <n v="5.4"/>
    <n v="2"/>
    <x v="5"/>
    <x v="2"/>
  </r>
  <r>
    <s v="TKT-0331"/>
    <x v="55"/>
    <d v="2025-01-25T02:47:00"/>
    <s v="Delivery"/>
    <s v="Social Media"/>
    <x v="0"/>
    <x v="0"/>
    <x v="6"/>
    <n v="6.4"/>
    <n v="2"/>
    <x v="5"/>
    <x v="3"/>
  </r>
  <r>
    <s v="TKT-0424"/>
    <x v="56"/>
    <d v="2025-06-19T00:41:00"/>
    <s v="Refund"/>
    <s v="Phone"/>
    <x v="3"/>
    <x v="0"/>
    <x v="2"/>
    <n v="7.5"/>
    <n v="2"/>
    <x v="4"/>
    <x v="0"/>
  </r>
  <r>
    <s v="TKT-0392"/>
    <x v="57"/>
    <d v="2025-06-05T20:52:00"/>
    <s v="Payment"/>
    <s v="Social Media"/>
    <x v="0"/>
    <x v="0"/>
    <x v="3"/>
    <n v="7.7"/>
    <n v="2"/>
    <x v="3"/>
    <x v="3"/>
  </r>
  <r>
    <s v="TKT-0304"/>
    <x v="58"/>
    <d v="2025-01-27T18:14:00"/>
    <s v="Technical Issue"/>
    <s v="Phone"/>
    <x v="0"/>
    <x v="0"/>
    <x v="4"/>
    <n v="8.8000000000000007"/>
    <n v="2"/>
    <x v="0"/>
    <x v="0"/>
  </r>
  <r>
    <s v="TKT-0346"/>
    <x v="59"/>
    <d v="2025-03-22T06:47:00"/>
    <s v="Refund"/>
    <s v="Email"/>
    <x v="3"/>
    <x v="0"/>
    <x v="4"/>
    <n v="9"/>
    <n v="2"/>
    <x v="4"/>
    <x v="1"/>
  </r>
  <r>
    <s v="TKT-0159"/>
    <x v="60"/>
    <d v="2025-06-15T15:15:00"/>
    <s v="Payment"/>
    <s v="Chat"/>
    <x v="2"/>
    <x v="0"/>
    <x v="7"/>
    <n v="11"/>
    <n v="2"/>
    <x v="3"/>
    <x v="2"/>
  </r>
  <r>
    <s v="TKT-0256"/>
    <x v="61"/>
    <d v="2025-02-28T19:05:00"/>
    <s v="Refund"/>
    <s v="Email"/>
    <x v="2"/>
    <x v="0"/>
    <x v="0"/>
    <n v="11.6"/>
    <n v="2"/>
    <x v="4"/>
    <x v="1"/>
  </r>
  <r>
    <s v="TKT-0347"/>
    <x v="62"/>
    <d v="2025-03-31T04:57:00"/>
    <s v="Refund"/>
    <s v="Phone"/>
    <x v="2"/>
    <x v="0"/>
    <x v="1"/>
    <n v="12.4"/>
    <n v="2"/>
    <x v="4"/>
    <x v="0"/>
  </r>
  <r>
    <s v="TKT-0473"/>
    <x v="63"/>
    <d v="2025-03-18T04:05:00"/>
    <s v="Refund"/>
    <s v="Email"/>
    <x v="1"/>
    <x v="0"/>
    <x v="1"/>
    <n v="13.9"/>
    <n v="2"/>
    <x v="4"/>
    <x v="1"/>
  </r>
  <r>
    <s v="TKT-0266"/>
    <x v="64"/>
    <d v="2025-02-24T01:55:00"/>
    <s v="Refund"/>
    <s v="Email"/>
    <x v="1"/>
    <x v="0"/>
    <x v="6"/>
    <n v="15.6"/>
    <n v="2"/>
    <x v="4"/>
    <x v="1"/>
  </r>
  <r>
    <s v="TKT-0119"/>
    <x v="65"/>
    <d v="2025-03-15T23:50:00"/>
    <s v="Product Information"/>
    <s v="Phone"/>
    <x v="3"/>
    <x v="0"/>
    <x v="5"/>
    <n v="16.2"/>
    <n v="2"/>
    <x v="2"/>
    <x v="0"/>
  </r>
  <r>
    <s v="TKT-0078"/>
    <x v="66"/>
    <d v="2025-04-25T16:23:00"/>
    <s v="Technical Issue"/>
    <s v="Phone"/>
    <x v="1"/>
    <x v="0"/>
    <x v="2"/>
    <n v="16.3"/>
    <n v="2"/>
    <x v="0"/>
    <x v="0"/>
  </r>
  <r>
    <s v="TKT-0259"/>
    <x v="67"/>
    <d v="2025-05-29T13:13:00"/>
    <s v="Refund"/>
    <s v="Chat"/>
    <x v="1"/>
    <x v="0"/>
    <x v="3"/>
    <n v="17.399999999999999"/>
    <n v="2"/>
    <x v="4"/>
    <x v="2"/>
  </r>
  <r>
    <s v="TKT-0016"/>
    <x v="68"/>
    <d v="2025-01-30T05:32:00"/>
    <s v="Product Information"/>
    <s v="Email"/>
    <x v="2"/>
    <x v="0"/>
    <x v="4"/>
    <n v="17.600000000000001"/>
    <n v="2"/>
    <x v="2"/>
    <x v="1"/>
  </r>
  <r>
    <s v="TKT-0001"/>
    <x v="69"/>
    <d v="2025-06-13T21:01:00"/>
    <s v="Refund"/>
    <s v="Email"/>
    <x v="2"/>
    <x v="0"/>
    <x v="0"/>
    <n v="18"/>
    <n v="2"/>
    <x v="4"/>
    <x v="1"/>
  </r>
  <r>
    <s v="TKT-0010"/>
    <x v="70"/>
    <d v="2025-04-13T15:53:00"/>
    <s v="Refund"/>
    <s v="Phone"/>
    <x v="1"/>
    <x v="0"/>
    <x v="0"/>
    <n v="19.399999999999999"/>
    <n v="2"/>
    <x v="4"/>
    <x v="0"/>
  </r>
  <r>
    <s v="TKT-0049"/>
    <x v="71"/>
    <d v="2025-04-15T16:05:00"/>
    <s v="Account"/>
    <s v="Phone"/>
    <x v="1"/>
    <x v="0"/>
    <x v="4"/>
    <n v="22.2"/>
    <n v="2"/>
    <x v="1"/>
    <x v="0"/>
  </r>
  <r>
    <s v="TKT-0374"/>
    <x v="72"/>
    <d v="2025-04-11T07:29:00"/>
    <s v="Delivery"/>
    <s v="Phone"/>
    <x v="2"/>
    <x v="0"/>
    <x v="4"/>
    <n v="23.3"/>
    <n v="2"/>
    <x v="5"/>
    <x v="0"/>
  </r>
  <r>
    <s v="TKT-0382"/>
    <x v="73"/>
    <d v="2025-06-01T02:57:00"/>
    <s v="Refund"/>
    <s v="Social Media"/>
    <x v="1"/>
    <x v="0"/>
    <x v="2"/>
    <n v="23.6"/>
    <n v="2"/>
    <x v="4"/>
    <x v="3"/>
  </r>
  <r>
    <s v="TKT-0380"/>
    <x v="74"/>
    <d v="2025-06-08T07:45:00"/>
    <s v="Technical Issue"/>
    <s v="Email"/>
    <x v="2"/>
    <x v="0"/>
    <x v="7"/>
    <n v="24.9"/>
    <n v="2"/>
    <x v="0"/>
    <x v="1"/>
  </r>
  <r>
    <s v="TKT-0477"/>
    <x v="75"/>
    <d v="2025-05-21T18:55:00"/>
    <s v="Refund"/>
    <s v="Phone"/>
    <x v="0"/>
    <x v="0"/>
    <x v="2"/>
    <n v="25.5"/>
    <n v="2"/>
    <x v="4"/>
    <x v="0"/>
  </r>
  <r>
    <s v="TKT-0370"/>
    <x v="76"/>
    <d v="2025-04-09T23:15:00"/>
    <s v="Technical Issue"/>
    <s v="Phone"/>
    <x v="1"/>
    <x v="0"/>
    <x v="7"/>
    <n v="25.8"/>
    <n v="2"/>
    <x v="0"/>
    <x v="0"/>
  </r>
  <r>
    <s v="TKT-0134"/>
    <x v="77"/>
    <d v="2025-06-20T02:14:00"/>
    <s v="Product Information"/>
    <s v="Phone"/>
    <x v="2"/>
    <x v="0"/>
    <x v="7"/>
    <n v="26.1"/>
    <n v="2"/>
    <x v="2"/>
    <x v="0"/>
  </r>
  <r>
    <s v="TKT-0293"/>
    <x v="78"/>
    <d v="2025-03-19T18:08:00"/>
    <s v="Refund"/>
    <s v="Social Media"/>
    <x v="3"/>
    <x v="0"/>
    <x v="4"/>
    <n v="26.3"/>
    <n v="2"/>
    <x v="4"/>
    <x v="3"/>
  </r>
  <r>
    <s v="TKT-0500"/>
    <x v="79"/>
    <d v="2025-05-21T20:12:00"/>
    <s v="Product Information"/>
    <s v="Phone"/>
    <x v="3"/>
    <x v="0"/>
    <x v="4"/>
    <n v="26.7"/>
    <n v="2"/>
    <x v="2"/>
    <x v="0"/>
  </r>
  <r>
    <s v="TKT-0313"/>
    <x v="80"/>
    <d v="2025-03-04T12:19:00"/>
    <s v="Product Information"/>
    <s v="Social Media"/>
    <x v="1"/>
    <x v="0"/>
    <x v="4"/>
    <n v="27.2"/>
    <n v="2"/>
    <x v="2"/>
    <x v="3"/>
  </r>
  <r>
    <s v="TKT-0142"/>
    <x v="81"/>
    <d v="2025-04-21T14:00:00"/>
    <s v="Refund"/>
    <s v="Social Media"/>
    <x v="2"/>
    <x v="0"/>
    <x v="5"/>
    <n v="27.3"/>
    <n v="2"/>
    <x v="4"/>
    <x v="3"/>
  </r>
  <r>
    <s v="TKT-0267"/>
    <x v="82"/>
    <d v="2025-06-30T00:39:00"/>
    <s v="Product Information"/>
    <s v="Phone"/>
    <x v="0"/>
    <x v="0"/>
    <x v="0"/>
    <n v="28.9"/>
    <n v="2"/>
    <x v="2"/>
    <x v="0"/>
  </r>
  <r>
    <s v="TKT-0360"/>
    <x v="83"/>
    <d v="2025-01-22T02:12:00"/>
    <s v="Payment"/>
    <s v="Phone"/>
    <x v="0"/>
    <x v="0"/>
    <x v="2"/>
    <n v="31.6"/>
    <n v="2"/>
    <x v="3"/>
    <x v="0"/>
  </r>
  <r>
    <s v="TKT-0465"/>
    <x v="84"/>
    <d v="2025-03-13T21:15:00"/>
    <s v="Payment"/>
    <s v="Social Media"/>
    <x v="0"/>
    <x v="0"/>
    <x v="2"/>
    <n v="32.9"/>
    <n v="2"/>
    <x v="3"/>
    <x v="3"/>
  </r>
  <r>
    <s v="TKT-0277"/>
    <x v="85"/>
    <d v="2025-02-16T17:58:00"/>
    <s v="Payment"/>
    <s v="Phone"/>
    <x v="0"/>
    <x v="0"/>
    <x v="3"/>
    <n v="38"/>
    <n v="2"/>
    <x v="3"/>
    <x v="0"/>
  </r>
  <r>
    <s v="TKT-0048"/>
    <x v="86"/>
    <d v="2025-03-27T04:50:00"/>
    <s v="Account"/>
    <s v="Social Media"/>
    <x v="3"/>
    <x v="0"/>
    <x v="3"/>
    <n v="40.1"/>
    <n v="2"/>
    <x v="1"/>
    <x v="3"/>
  </r>
  <r>
    <s v="TKT-0184"/>
    <x v="87"/>
    <d v="2025-01-03T12:40:00"/>
    <s v="Refund"/>
    <s v="Email"/>
    <x v="0"/>
    <x v="0"/>
    <x v="5"/>
    <n v="41.3"/>
    <n v="2"/>
    <x v="4"/>
    <x v="1"/>
  </r>
  <r>
    <s v="TKT-0106"/>
    <x v="88"/>
    <d v="2025-03-26T00:08:00"/>
    <s v="Account"/>
    <s v="Email"/>
    <x v="0"/>
    <x v="0"/>
    <x v="4"/>
    <n v="41.4"/>
    <n v="2"/>
    <x v="1"/>
    <x v="1"/>
  </r>
  <r>
    <s v="TKT-0432"/>
    <x v="89"/>
    <d v="2025-05-18T03:19:00"/>
    <s v="Payment"/>
    <s v="Phone"/>
    <x v="0"/>
    <x v="0"/>
    <x v="7"/>
    <n v="45.3"/>
    <n v="2"/>
    <x v="3"/>
    <x v="0"/>
  </r>
  <r>
    <s v="TKT-0237"/>
    <x v="90"/>
    <d v="2025-03-17T19:09:00"/>
    <s v="Product Information"/>
    <s v="Email"/>
    <x v="3"/>
    <x v="0"/>
    <x v="0"/>
    <n v="47.1"/>
    <n v="2"/>
    <x v="2"/>
    <x v="1"/>
  </r>
  <r>
    <s v="TKT-0446"/>
    <x v="91"/>
    <d v="2025-01-27T00:54:00"/>
    <s v="Technical Issue"/>
    <s v="Phone"/>
    <x v="1"/>
    <x v="0"/>
    <x v="3"/>
    <n v="47.9"/>
    <n v="2"/>
    <x v="0"/>
    <x v="0"/>
  </r>
  <r>
    <s v="TKT-0413"/>
    <x v="92"/>
    <d v="2025-05-01T17:37:00"/>
    <s v="Technical Issue"/>
    <s v="Social Media"/>
    <x v="1"/>
    <x v="0"/>
    <x v="7"/>
    <n v="49.2"/>
    <n v="2"/>
    <x v="0"/>
    <x v="3"/>
  </r>
  <r>
    <s v="TKT-0495"/>
    <x v="93"/>
    <d v="2025-03-28T21:48:00"/>
    <s v="Product Information"/>
    <s v="Phone"/>
    <x v="0"/>
    <x v="0"/>
    <x v="0"/>
    <n v="50.1"/>
    <n v="2"/>
    <x v="2"/>
    <x v="0"/>
  </r>
  <r>
    <s v="TKT-0324"/>
    <x v="94"/>
    <d v="2025-01-18T11:37:00"/>
    <s v="Payment"/>
    <s v="Chat"/>
    <x v="0"/>
    <x v="0"/>
    <x v="6"/>
    <n v="50.7"/>
    <n v="2"/>
    <x v="3"/>
    <x v="2"/>
  </r>
  <r>
    <s v="TKT-0309"/>
    <x v="95"/>
    <d v="2025-06-03T16:18:00"/>
    <s v="Technical Issue"/>
    <s v="Email"/>
    <x v="2"/>
    <x v="0"/>
    <x v="7"/>
    <n v="50.9"/>
    <n v="2"/>
    <x v="0"/>
    <x v="1"/>
  </r>
  <r>
    <s v="TKT-0035"/>
    <x v="96"/>
    <d v="2025-02-06T13:43:00"/>
    <s v="Technical Issue"/>
    <s v="Phone"/>
    <x v="3"/>
    <x v="0"/>
    <x v="2"/>
    <n v="53.6"/>
    <n v="2"/>
    <x v="0"/>
    <x v="0"/>
  </r>
  <r>
    <s v="TKT-0003"/>
    <x v="97"/>
    <d v="2025-04-28T01:05:00"/>
    <s v="Refund"/>
    <s v="Social Media"/>
    <x v="0"/>
    <x v="0"/>
    <x v="3"/>
    <n v="54.8"/>
    <n v="2"/>
    <x v="4"/>
    <x v="3"/>
  </r>
  <r>
    <s v="TKT-0376"/>
    <x v="98"/>
    <d v="2025-03-13T00:58:00"/>
    <s v="Product Information"/>
    <s v="Social Media"/>
    <x v="0"/>
    <x v="0"/>
    <x v="7"/>
    <n v="55.1"/>
    <n v="2"/>
    <x v="2"/>
    <x v="3"/>
  </r>
  <r>
    <s v="TKT-0201"/>
    <x v="99"/>
    <d v="2025-05-24T06:42:00"/>
    <s v="Technical Issue"/>
    <s v="Chat"/>
    <x v="2"/>
    <x v="0"/>
    <x v="6"/>
    <n v="61.4"/>
    <n v="2"/>
    <x v="0"/>
    <x v="2"/>
  </r>
  <r>
    <s v="TKT-0042"/>
    <x v="100"/>
    <d v="2025-07-01T17:18:00"/>
    <s v="Payment"/>
    <s v="Social Media"/>
    <x v="0"/>
    <x v="0"/>
    <x v="3"/>
    <n v="61.9"/>
    <n v="2"/>
    <x v="3"/>
    <x v="3"/>
  </r>
  <r>
    <s v="TKT-0133"/>
    <x v="101"/>
    <d v="2025-02-10T08:54:00"/>
    <s v="Payment"/>
    <s v="Phone"/>
    <x v="3"/>
    <x v="0"/>
    <x v="5"/>
    <n v="61.9"/>
    <n v="2"/>
    <x v="3"/>
    <x v="0"/>
  </r>
  <r>
    <s v="TKT-0039"/>
    <x v="102"/>
    <d v="2025-01-14T02:11:00"/>
    <s v="Refund"/>
    <s v="Chat"/>
    <x v="2"/>
    <x v="0"/>
    <x v="2"/>
    <n v="64.8"/>
    <n v="2"/>
    <x v="4"/>
    <x v="2"/>
  </r>
  <r>
    <s v="TKT-0444"/>
    <x v="103"/>
    <d v="2025-05-13T19:58:00"/>
    <s v="Account"/>
    <s v="Phone"/>
    <x v="0"/>
    <x v="0"/>
    <x v="4"/>
    <n v="65.2"/>
    <n v="2"/>
    <x v="1"/>
    <x v="0"/>
  </r>
  <r>
    <s v="TKT-0040"/>
    <x v="104"/>
    <d v="2025-05-27T08:21:00"/>
    <s v="Payment"/>
    <s v="Chat"/>
    <x v="1"/>
    <x v="0"/>
    <x v="1"/>
    <n v="66.7"/>
    <n v="2"/>
    <x v="3"/>
    <x v="2"/>
  </r>
  <r>
    <s v="TKT-0297"/>
    <x v="105"/>
    <d v="2025-03-16T07:29:00"/>
    <s v="Product Information"/>
    <s v="Chat"/>
    <x v="2"/>
    <x v="0"/>
    <x v="4"/>
    <n v="67.099999999999994"/>
    <n v="2"/>
    <x v="2"/>
    <x v="2"/>
  </r>
  <r>
    <s v="TKT-0195"/>
    <x v="106"/>
    <d v="2025-04-07T13:27:00"/>
    <s v="Product Information"/>
    <s v="Social Media"/>
    <x v="2"/>
    <x v="0"/>
    <x v="7"/>
    <n v="68.599999999999994"/>
    <n v="2"/>
    <x v="2"/>
    <x v="3"/>
  </r>
  <r>
    <s v="TKT-0014"/>
    <x v="107"/>
    <d v="2025-04-29T22:46:00"/>
    <s v="Product Information"/>
    <s v="Email"/>
    <x v="0"/>
    <x v="0"/>
    <x v="6"/>
    <n v="70"/>
    <n v="2"/>
    <x v="2"/>
    <x v="1"/>
  </r>
  <r>
    <s v="TKT-0212"/>
    <x v="108"/>
    <d v="2025-03-25T20:32:00"/>
    <s v="Technical Issue"/>
    <s v="Email"/>
    <x v="0"/>
    <x v="0"/>
    <x v="6"/>
    <n v="70.2"/>
    <n v="2"/>
    <x v="0"/>
    <x v="1"/>
  </r>
  <r>
    <s v="TKT-0344"/>
    <x v="109"/>
    <d v="2025-03-24T00:44:00"/>
    <s v="Product Information"/>
    <s v="Phone"/>
    <x v="1"/>
    <x v="0"/>
    <x v="5"/>
    <n v="70.2"/>
    <n v="2"/>
    <x v="2"/>
    <x v="0"/>
  </r>
  <r>
    <s v="TKT-0330"/>
    <x v="110"/>
    <d v="2025-04-30T00:09:00"/>
    <s v="Refund"/>
    <s v="Phone"/>
    <x v="3"/>
    <x v="0"/>
    <x v="3"/>
    <n v="71.7"/>
    <n v="2"/>
    <x v="4"/>
    <x v="0"/>
  </r>
  <r>
    <s v="TKT-0152"/>
    <x v="111"/>
    <d v="2025-02-26T13:38:00"/>
    <s v="Payment"/>
    <s v="Chat"/>
    <x v="0"/>
    <x v="0"/>
    <x v="3"/>
    <n v="1"/>
    <n v="3"/>
    <x v="3"/>
    <x v="2"/>
  </r>
  <r>
    <s v="TKT-0276"/>
    <x v="112"/>
    <d v="2025-05-17T19:08:00"/>
    <s v="Product Information"/>
    <s v="Phone"/>
    <x v="2"/>
    <x v="0"/>
    <x v="0"/>
    <n v="1.7"/>
    <n v="3"/>
    <x v="2"/>
    <x v="0"/>
  </r>
  <r>
    <s v="TKT-0306"/>
    <x v="113"/>
    <d v="2025-03-18T03:57:00"/>
    <s v="Refund"/>
    <s v="Email"/>
    <x v="3"/>
    <x v="0"/>
    <x v="6"/>
    <n v="2.1"/>
    <n v="3"/>
    <x v="4"/>
    <x v="1"/>
  </r>
  <r>
    <s v="TKT-0129"/>
    <x v="114"/>
    <d v="2025-05-06T22:14:00"/>
    <s v="Payment"/>
    <s v="Social Media"/>
    <x v="1"/>
    <x v="0"/>
    <x v="6"/>
    <n v="2.8"/>
    <n v="3"/>
    <x v="3"/>
    <x v="3"/>
  </r>
  <r>
    <s v="TKT-0023"/>
    <x v="115"/>
    <d v="2025-06-23T01:29:00"/>
    <s v="Delivery"/>
    <s v="Chat"/>
    <x v="3"/>
    <x v="0"/>
    <x v="6"/>
    <n v="4.8"/>
    <n v="3"/>
    <x v="5"/>
    <x v="2"/>
  </r>
  <r>
    <s v="TKT-0334"/>
    <x v="116"/>
    <d v="2025-02-28T19:59:00"/>
    <s v="Technical Issue"/>
    <s v="Chat"/>
    <x v="1"/>
    <x v="0"/>
    <x v="7"/>
    <n v="7.9"/>
    <n v="3"/>
    <x v="0"/>
    <x v="2"/>
  </r>
  <r>
    <s v="TKT-0044"/>
    <x v="117"/>
    <d v="2025-06-24T02:03:00"/>
    <s v="Payment"/>
    <s v="Phone"/>
    <x v="2"/>
    <x v="0"/>
    <x v="5"/>
    <n v="8.6999999999999993"/>
    <n v="3"/>
    <x v="3"/>
    <x v="0"/>
  </r>
  <r>
    <s v="TKT-0033"/>
    <x v="118"/>
    <d v="2025-05-18T16:32:00"/>
    <s v="Delivery"/>
    <s v="Chat"/>
    <x v="0"/>
    <x v="0"/>
    <x v="3"/>
    <n v="10"/>
    <n v="3"/>
    <x v="5"/>
    <x v="2"/>
  </r>
  <r>
    <s v="TKT-0007"/>
    <x v="119"/>
    <d v="2025-04-08T20:35:00"/>
    <s v="Payment"/>
    <s v="Phone"/>
    <x v="2"/>
    <x v="0"/>
    <x v="7"/>
    <n v="12.1"/>
    <n v="3"/>
    <x v="3"/>
    <x v="0"/>
  </r>
  <r>
    <s v="TKT-0466"/>
    <x v="120"/>
    <d v="2025-05-23T11:43:00"/>
    <s v="Refund"/>
    <s v="Phone"/>
    <x v="3"/>
    <x v="0"/>
    <x v="7"/>
    <n v="15.5"/>
    <n v="3"/>
    <x v="4"/>
    <x v="0"/>
  </r>
  <r>
    <s v="TKT-0425"/>
    <x v="121"/>
    <d v="2025-06-17T18:44:00"/>
    <s v="Account"/>
    <s v="Phone"/>
    <x v="0"/>
    <x v="0"/>
    <x v="3"/>
    <n v="16.5"/>
    <n v="3"/>
    <x v="1"/>
    <x v="0"/>
  </r>
  <r>
    <s v="TKT-0230"/>
    <x v="122"/>
    <d v="2025-03-06T01:11:00"/>
    <s v="Technical Issue"/>
    <s v="Chat"/>
    <x v="1"/>
    <x v="0"/>
    <x v="2"/>
    <n v="16.600000000000001"/>
    <n v="3"/>
    <x v="0"/>
    <x v="2"/>
  </r>
  <r>
    <s v="TKT-0318"/>
    <x v="123"/>
    <d v="2025-02-27T01:38:00"/>
    <s v="Payment"/>
    <s v="Social Media"/>
    <x v="1"/>
    <x v="0"/>
    <x v="5"/>
    <n v="16.600000000000001"/>
    <n v="3"/>
    <x v="3"/>
    <x v="3"/>
  </r>
  <r>
    <s v="TKT-0064"/>
    <x v="124"/>
    <d v="2025-02-05T09:17:00"/>
    <s v="Payment"/>
    <s v="Social Media"/>
    <x v="0"/>
    <x v="0"/>
    <x v="2"/>
    <n v="19.100000000000001"/>
    <n v="3"/>
    <x v="3"/>
    <x v="3"/>
  </r>
  <r>
    <s v="TKT-0268"/>
    <x v="125"/>
    <d v="2025-05-01T16:17:00"/>
    <s v="Product Information"/>
    <s v="Social Media"/>
    <x v="1"/>
    <x v="0"/>
    <x v="5"/>
    <n v="22.6"/>
    <n v="3"/>
    <x v="2"/>
    <x v="3"/>
  </r>
  <r>
    <s v="TKT-0361"/>
    <x v="126"/>
    <d v="2025-04-12T22:05:00"/>
    <s v="Payment"/>
    <s v="Email"/>
    <x v="3"/>
    <x v="0"/>
    <x v="7"/>
    <n v="23.2"/>
    <n v="3"/>
    <x v="3"/>
    <x v="1"/>
  </r>
  <r>
    <s v="TKT-0459"/>
    <x v="127"/>
    <d v="2025-01-26T22:08:00"/>
    <s v="Product Information"/>
    <s v="Phone"/>
    <x v="2"/>
    <x v="0"/>
    <x v="1"/>
    <n v="24.9"/>
    <n v="3"/>
    <x v="2"/>
    <x v="0"/>
  </r>
  <r>
    <s v="TKT-0414"/>
    <x v="128"/>
    <d v="2025-05-03T19:41:00"/>
    <s v="Refund"/>
    <s v="Email"/>
    <x v="0"/>
    <x v="0"/>
    <x v="1"/>
    <n v="25.1"/>
    <n v="3"/>
    <x v="4"/>
    <x v="1"/>
  </r>
  <r>
    <s v="TKT-0178"/>
    <x v="129"/>
    <d v="2025-04-01T05:14:00"/>
    <s v="Payment"/>
    <s v="Social Media"/>
    <x v="2"/>
    <x v="0"/>
    <x v="2"/>
    <n v="28.8"/>
    <n v="3"/>
    <x v="3"/>
    <x v="3"/>
  </r>
  <r>
    <s v="TKT-0043"/>
    <x v="130"/>
    <d v="2025-03-01T12:01:00"/>
    <s v="Delivery"/>
    <s v="Phone"/>
    <x v="0"/>
    <x v="0"/>
    <x v="0"/>
    <n v="29"/>
    <n v="3"/>
    <x v="5"/>
    <x v="0"/>
  </r>
  <r>
    <s v="TKT-0326"/>
    <x v="131"/>
    <d v="2025-01-22T02:08:00"/>
    <s v="Refund"/>
    <s v="Phone"/>
    <x v="1"/>
    <x v="0"/>
    <x v="4"/>
    <n v="29.3"/>
    <n v="3"/>
    <x v="4"/>
    <x v="0"/>
  </r>
  <r>
    <s v="TKT-0151"/>
    <x v="132"/>
    <d v="2025-02-26T23:19:00"/>
    <s v="Refund"/>
    <s v="Social Media"/>
    <x v="0"/>
    <x v="0"/>
    <x v="1"/>
    <n v="31.2"/>
    <n v="3"/>
    <x v="4"/>
    <x v="3"/>
  </r>
  <r>
    <s v="TKT-0397"/>
    <x v="133"/>
    <d v="2025-02-18T21:56:00"/>
    <s v="Payment"/>
    <s v="Phone"/>
    <x v="2"/>
    <x v="0"/>
    <x v="7"/>
    <n v="31.9"/>
    <n v="3"/>
    <x v="3"/>
    <x v="0"/>
  </r>
  <r>
    <s v="TKT-0124"/>
    <x v="134"/>
    <d v="2025-01-05T17:34:00"/>
    <s v="Product Information"/>
    <s v="Social Media"/>
    <x v="0"/>
    <x v="0"/>
    <x v="5"/>
    <n v="33"/>
    <n v="3"/>
    <x v="2"/>
    <x v="3"/>
  </r>
  <r>
    <s v="TKT-0412"/>
    <x v="135"/>
    <d v="2025-02-22T10:21:00"/>
    <s v="Refund"/>
    <s v="Chat"/>
    <x v="0"/>
    <x v="0"/>
    <x v="2"/>
    <n v="33.1"/>
    <n v="3"/>
    <x v="4"/>
    <x v="2"/>
  </r>
  <r>
    <s v="TKT-0008"/>
    <x v="136"/>
    <d v="2025-05-19T08:51:00"/>
    <s v="Refund"/>
    <s v="Chat"/>
    <x v="0"/>
    <x v="0"/>
    <x v="1"/>
    <n v="33.6"/>
    <n v="3"/>
    <x v="4"/>
    <x v="2"/>
  </r>
  <r>
    <s v="TKT-0328"/>
    <x v="137"/>
    <d v="2025-02-27T01:46:00"/>
    <s v="Technical Issue"/>
    <s v="Phone"/>
    <x v="3"/>
    <x v="0"/>
    <x v="4"/>
    <n v="35.9"/>
    <n v="3"/>
    <x v="0"/>
    <x v="0"/>
  </r>
  <r>
    <s v="TKT-0154"/>
    <x v="138"/>
    <d v="2025-04-10T06:03:00"/>
    <s v="Delivery"/>
    <s v="Social Media"/>
    <x v="2"/>
    <x v="0"/>
    <x v="0"/>
    <n v="36.299999999999997"/>
    <n v="3"/>
    <x v="5"/>
    <x v="3"/>
  </r>
  <r>
    <s v="TKT-0036"/>
    <x v="139"/>
    <d v="2025-02-24T10:16:00"/>
    <s v="Delivery"/>
    <s v="Email"/>
    <x v="1"/>
    <x v="0"/>
    <x v="3"/>
    <n v="36.6"/>
    <n v="3"/>
    <x v="5"/>
    <x v="1"/>
  </r>
  <r>
    <s v="TKT-0102"/>
    <x v="140"/>
    <d v="2025-06-16T17:25:00"/>
    <s v="Account"/>
    <s v="Social Media"/>
    <x v="1"/>
    <x v="0"/>
    <x v="6"/>
    <n v="36.9"/>
    <n v="3"/>
    <x v="1"/>
    <x v="3"/>
  </r>
  <r>
    <s v="TKT-0130"/>
    <x v="141"/>
    <d v="2025-04-04T19:07:00"/>
    <s v="Delivery"/>
    <s v="Social Media"/>
    <x v="0"/>
    <x v="0"/>
    <x v="6"/>
    <n v="39.4"/>
    <n v="3"/>
    <x v="5"/>
    <x v="3"/>
  </r>
  <r>
    <s v="TKT-0038"/>
    <x v="142"/>
    <d v="2025-01-30T18:26:00"/>
    <s v="Product Information"/>
    <s v="Chat"/>
    <x v="1"/>
    <x v="0"/>
    <x v="7"/>
    <n v="39.5"/>
    <n v="3"/>
    <x v="2"/>
    <x v="2"/>
  </r>
  <r>
    <s v="TKT-0355"/>
    <x v="143"/>
    <d v="2025-01-05T04:00:00"/>
    <s v="Refund"/>
    <s v="Chat"/>
    <x v="1"/>
    <x v="0"/>
    <x v="2"/>
    <n v="40.799999999999997"/>
    <n v="3"/>
    <x v="4"/>
    <x v="2"/>
  </r>
  <r>
    <s v="TKT-0325"/>
    <x v="144"/>
    <d v="2025-06-25T06:19:00"/>
    <s v="Refund"/>
    <s v="Social Media"/>
    <x v="1"/>
    <x v="0"/>
    <x v="4"/>
    <n v="41.8"/>
    <n v="3"/>
    <x v="4"/>
    <x v="3"/>
  </r>
  <r>
    <s v="TKT-0290"/>
    <x v="145"/>
    <d v="2025-01-25T06:47:00"/>
    <s v="Account"/>
    <s v="Email"/>
    <x v="0"/>
    <x v="0"/>
    <x v="0"/>
    <n v="43.2"/>
    <n v="3"/>
    <x v="1"/>
    <x v="1"/>
  </r>
  <r>
    <s v="TKT-0487"/>
    <x v="146"/>
    <d v="2025-05-10T23:12:00"/>
    <s v="Account"/>
    <s v="Social Media"/>
    <x v="1"/>
    <x v="0"/>
    <x v="1"/>
    <n v="43.9"/>
    <n v="3"/>
    <x v="1"/>
    <x v="3"/>
  </r>
  <r>
    <s v="TKT-0037"/>
    <x v="147"/>
    <d v="2025-01-13T22:27:00"/>
    <s v="Payment"/>
    <s v="Social Media"/>
    <x v="1"/>
    <x v="0"/>
    <x v="1"/>
    <n v="46.1"/>
    <n v="3"/>
    <x v="3"/>
    <x v="3"/>
  </r>
  <r>
    <s v="TKT-0420"/>
    <x v="148"/>
    <d v="2025-05-06T00:39:00"/>
    <s v="Technical Issue"/>
    <s v="Phone"/>
    <x v="3"/>
    <x v="0"/>
    <x v="7"/>
    <n v="46.3"/>
    <n v="3"/>
    <x v="0"/>
    <x v="0"/>
  </r>
  <r>
    <s v="TKT-0091"/>
    <x v="149"/>
    <d v="2025-04-21T02:22:00"/>
    <s v="Payment"/>
    <s v="Email"/>
    <x v="2"/>
    <x v="0"/>
    <x v="7"/>
    <n v="46.8"/>
    <n v="3"/>
    <x v="3"/>
    <x v="1"/>
  </r>
  <r>
    <s v="TKT-0022"/>
    <x v="150"/>
    <d v="2025-04-17T05:42:00"/>
    <s v="Account"/>
    <s v="Social Media"/>
    <x v="1"/>
    <x v="0"/>
    <x v="1"/>
    <n v="47.6"/>
    <n v="3"/>
    <x v="1"/>
    <x v="3"/>
  </r>
  <r>
    <s v="TKT-0365"/>
    <x v="151"/>
    <d v="2025-04-04T13:26:00"/>
    <s v="Payment"/>
    <s v="Email"/>
    <x v="1"/>
    <x v="0"/>
    <x v="4"/>
    <n v="48.9"/>
    <n v="3"/>
    <x v="3"/>
    <x v="1"/>
  </r>
  <r>
    <s v="TKT-0467"/>
    <x v="152"/>
    <d v="2025-05-11T21:02:00"/>
    <s v="Product Information"/>
    <s v="Social Media"/>
    <x v="1"/>
    <x v="0"/>
    <x v="3"/>
    <n v="51.3"/>
    <n v="3"/>
    <x v="2"/>
    <x v="3"/>
  </r>
  <r>
    <s v="TKT-0143"/>
    <x v="153"/>
    <d v="2025-01-24T08:09:00"/>
    <s v="Payment"/>
    <s v="Email"/>
    <x v="0"/>
    <x v="0"/>
    <x v="5"/>
    <n v="53.7"/>
    <n v="3"/>
    <x v="3"/>
    <x v="1"/>
  </r>
  <r>
    <s v="TKT-0407"/>
    <x v="154"/>
    <d v="2025-03-29T04:03:00"/>
    <s v="Technical Issue"/>
    <s v="Email"/>
    <x v="0"/>
    <x v="0"/>
    <x v="3"/>
    <n v="53.8"/>
    <n v="3"/>
    <x v="0"/>
    <x v="1"/>
  </r>
  <r>
    <s v="TKT-0013"/>
    <x v="155"/>
    <d v="2025-06-27T01:18:00"/>
    <s v="Delivery"/>
    <s v="Phone"/>
    <x v="1"/>
    <x v="0"/>
    <x v="7"/>
    <n v="55.5"/>
    <n v="3"/>
    <x v="5"/>
    <x v="0"/>
  </r>
  <r>
    <s v="TKT-0220"/>
    <x v="156"/>
    <d v="2025-02-04T12:43:00"/>
    <s v="Product Information"/>
    <s v="Phone"/>
    <x v="3"/>
    <x v="0"/>
    <x v="6"/>
    <n v="57.3"/>
    <n v="3"/>
    <x v="2"/>
    <x v="0"/>
  </r>
  <r>
    <s v="TKT-0076"/>
    <x v="157"/>
    <d v="2025-02-19T00:43:00"/>
    <s v="Technical Issue"/>
    <s v="Phone"/>
    <x v="2"/>
    <x v="0"/>
    <x v="6"/>
    <n v="57.5"/>
    <n v="3"/>
    <x v="0"/>
    <x v="0"/>
  </r>
  <r>
    <s v="TKT-0377"/>
    <x v="158"/>
    <d v="2025-02-17T17:43:00"/>
    <s v="Product Information"/>
    <s v="Email"/>
    <x v="0"/>
    <x v="0"/>
    <x v="7"/>
    <n v="58.1"/>
    <n v="3"/>
    <x v="2"/>
    <x v="1"/>
  </r>
  <r>
    <s v="TKT-0122"/>
    <x v="159"/>
    <d v="2025-05-19T04:52:00"/>
    <s v="Account"/>
    <s v="Phone"/>
    <x v="0"/>
    <x v="0"/>
    <x v="5"/>
    <n v="59.9"/>
    <n v="3"/>
    <x v="1"/>
    <x v="0"/>
  </r>
  <r>
    <s v="TKT-0179"/>
    <x v="160"/>
    <d v="2025-03-01T12:50:00"/>
    <s v="Payment"/>
    <s v="Chat"/>
    <x v="2"/>
    <x v="0"/>
    <x v="3"/>
    <n v="60.5"/>
    <n v="3"/>
    <x v="3"/>
    <x v="2"/>
  </r>
  <r>
    <s v="TKT-0284"/>
    <x v="161"/>
    <d v="2025-01-16T15:57:00"/>
    <s v="Product Information"/>
    <s v="Social Media"/>
    <x v="0"/>
    <x v="0"/>
    <x v="1"/>
    <n v="60.5"/>
    <n v="3"/>
    <x v="2"/>
    <x v="3"/>
  </r>
  <r>
    <s v="TKT-0190"/>
    <x v="162"/>
    <d v="2025-03-18T02:19:00"/>
    <s v="Technical Issue"/>
    <s v="Email"/>
    <x v="0"/>
    <x v="0"/>
    <x v="0"/>
    <n v="62.4"/>
    <n v="3"/>
    <x v="0"/>
    <x v="1"/>
  </r>
  <r>
    <s v="TKT-0445"/>
    <x v="163"/>
    <d v="2025-01-15T18:52:00"/>
    <s v="Technical Issue"/>
    <s v="Phone"/>
    <x v="1"/>
    <x v="0"/>
    <x v="5"/>
    <n v="63"/>
    <n v="3"/>
    <x v="0"/>
    <x v="0"/>
  </r>
  <r>
    <s v="TKT-0354"/>
    <x v="164"/>
    <d v="2025-05-15T16:37:00"/>
    <s v="Technical Issue"/>
    <s v="Phone"/>
    <x v="2"/>
    <x v="0"/>
    <x v="4"/>
    <n v="63.2"/>
    <n v="3"/>
    <x v="0"/>
    <x v="0"/>
  </r>
  <r>
    <s v="TKT-0168"/>
    <x v="165"/>
    <d v="2025-01-24T12:42:00"/>
    <s v="Refund"/>
    <s v="Social Media"/>
    <x v="3"/>
    <x v="0"/>
    <x v="5"/>
    <n v="66"/>
    <n v="3"/>
    <x v="4"/>
    <x v="3"/>
  </r>
  <r>
    <s v="TKT-0147"/>
    <x v="166"/>
    <d v="2025-01-10T23:41:00"/>
    <s v="Payment "/>
    <s v="Chat"/>
    <x v="3"/>
    <x v="0"/>
    <x v="0"/>
    <n v="66.400000000000006"/>
    <n v="3"/>
    <x v="3"/>
    <x v="2"/>
  </r>
  <r>
    <s v="TKT-0264"/>
    <x v="167"/>
    <d v="2025-03-10T00:45:00"/>
    <s v="Delivery"/>
    <s v="Chat"/>
    <x v="2"/>
    <x v="0"/>
    <x v="3"/>
    <n v="66.400000000000006"/>
    <n v="3"/>
    <x v="5"/>
    <x v="2"/>
  </r>
  <r>
    <s v="TKT-0294"/>
    <x v="168"/>
    <d v="2025-01-31T00:37:00"/>
    <s v="Product Information"/>
    <s v="Social Media"/>
    <x v="0"/>
    <x v="0"/>
    <x v="4"/>
    <n v="68.3"/>
    <n v="3"/>
    <x v="2"/>
    <x v="3"/>
  </r>
  <r>
    <s v="TKT-0084"/>
    <x v="169"/>
    <d v="2025-05-06T11:51:00"/>
    <s v="Account"/>
    <s v="Email"/>
    <x v="2"/>
    <x v="0"/>
    <x v="0"/>
    <n v="69.5"/>
    <n v="3"/>
    <x v="1"/>
    <x v="1"/>
  </r>
  <r>
    <s v="TKT-0373"/>
    <x v="170"/>
    <d v="2025-06-14T17:02:00"/>
    <s v="Account"/>
    <s v="Social Media"/>
    <x v="0"/>
    <x v="0"/>
    <x v="2"/>
    <n v="71.2"/>
    <n v="3"/>
    <x v="1"/>
    <x v="3"/>
  </r>
  <r>
    <s v="TKT-0332"/>
    <x v="171"/>
    <d v="2025-04-20T20:41:00"/>
    <s v="Delivery"/>
    <s v="Chat"/>
    <x v="3"/>
    <x v="0"/>
    <x v="4"/>
    <n v="0.6"/>
    <n v="4"/>
    <x v="5"/>
    <x v="2"/>
  </r>
  <r>
    <s v="TKT-0118"/>
    <x v="172"/>
    <d v="2025-05-28T11:50:00"/>
    <s v="Technical Issue"/>
    <s v="Email"/>
    <x v="2"/>
    <x v="0"/>
    <x v="4"/>
    <n v="2.1"/>
    <n v="4"/>
    <x v="0"/>
    <x v="1"/>
  </r>
  <r>
    <s v="TKT-0165"/>
    <x v="173"/>
    <d v="2025-01-22T19:59:00"/>
    <s v="Account"/>
    <s v="Chat"/>
    <x v="0"/>
    <x v="0"/>
    <x v="2"/>
    <n v="3.3"/>
    <n v="4"/>
    <x v="1"/>
    <x v="2"/>
  </r>
  <r>
    <s v="TKT-0329"/>
    <x v="174"/>
    <d v="2025-03-30T01:36:00"/>
    <s v="Delivery"/>
    <s v="Email"/>
    <x v="3"/>
    <x v="0"/>
    <x v="4"/>
    <n v="3.8"/>
    <n v="4"/>
    <x v="5"/>
    <x v="1"/>
  </r>
  <r>
    <s v="TKT-0188"/>
    <x v="175"/>
    <d v="2025-06-11T10:51:00"/>
    <s v="Delivery"/>
    <s v="Phone"/>
    <x v="3"/>
    <x v="0"/>
    <x v="1"/>
    <n v="5"/>
    <n v="4"/>
    <x v="5"/>
    <x v="0"/>
  </r>
  <r>
    <s v="TKT-0203"/>
    <x v="176"/>
    <d v="2025-05-22T09:51:00"/>
    <s v="Refund"/>
    <s v="Social Media"/>
    <x v="1"/>
    <x v="0"/>
    <x v="0"/>
    <n v="5.2"/>
    <n v="4"/>
    <x v="4"/>
    <x v="3"/>
  </r>
  <r>
    <s v="TKT-0279"/>
    <x v="177"/>
    <d v="2025-06-25T09:53:00"/>
    <s v="Account"/>
    <s v="Social Media"/>
    <x v="2"/>
    <x v="0"/>
    <x v="1"/>
    <n v="7.2"/>
    <n v="4"/>
    <x v="1"/>
    <x v="3"/>
  </r>
  <r>
    <s v="TKT-0004"/>
    <x v="178"/>
    <d v="2025-02-09T14:36:00"/>
    <s v="Delivery"/>
    <s v="Phone"/>
    <x v="0"/>
    <x v="0"/>
    <x v="3"/>
    <n v="7.8"/>
    <n v="4"/>
    <x v="5"/>
    <x v="0"/>
  </r>
  <r>
    <s v="TKT-0456"/>
    <x v="179"/>
    <d v="2025-05-09T07:29:00"/>
    <s v="Delivery"/>
    <s v="Email"/>
    <x v="2"/>
    <x v="0"/>
    <x v="3"/>
    <n v="7.8"/>
    <n v="4"/>
    <x v="5"/>
    <x v="1"/>
  </r>
  <r>
    <s v="TKT-0098"/>
    <x v="180"/>
    <d v="2025-01-23T19:04:00"/>
    <s v="Product Information"/>
    <s v="Email"/>
    <x v="1"/>
    <x v="0"/>
    <x v="0"/>
    <n v="8.8000000000000007"/>
    <n v="4"/>
    <x v="2"/>
    <x v="1"/>
  </r>
  <r>
    <s v="TKT-0401"/>
    <x v="181"/>
    <d v="2025-02-14T14:43:00"/>
    <s v="Delivery"/>
    <s v="Social Media"/>
    <x v="3"/>
    <x v="0"/>
    <x v="7"/>
    <n v="9.5"/>
    <n v="4"/>
    <x v="5"/>
    <x v="3"/>
  </r>
  <r>
    <s v="TKT-0017"/>
    <x v="182"/>
    <d v="2025-01-19T03:31:00"/>
    <s v="Product Information"/>
    <s v="Chat"/>
    <x v="0"/>
    <x v="0"/>
    <x v="0"/>
    <n v="9.6999999999999993"/>
    <n v="4"/>
    <x v="2"/>
    <x v="2"/>
  </r>
  <r>
    <s v="TKT-0488"/>
    <x v="183"/>
    <d v="2025-05-02T15:52:00"/>
    <s v="Product Information"/>
    <s v="Phone"/>
    <x v="3"/>
    <x v="0"/>
    <x v="3"/>
    <n v="10.3"/>
    <n v="4"/>
    <x v="2"/>
    <x v="0"/>
  </r>
  <r>
    <s v="TKT-0362"/>
    <x v="184"/>
    <d v="2025-05-30T15:27:00"/>
    <s v="Technical Issue"/>
    <s v="Social Media"/>
    <x v="2"/>
    <x v="0"/>
    <x v="2"/>
    <n v="12.3"/>
    <n v="4"/>
    <x v="0"/>
    <x v="3"/>
  </r>
  <r>
    <s v="TKT-0390"/>
    <x v="185"/>
    <d v="2025-03-08T15:46:00"/>
    <s v="Payment"/>
    <s v="Email"/>
    <x v="2"/>
    <x v="0"/>
    <x v="2"/>
    <n v="12.7"/>
    <n v="4"/>
    <x v="3"/>
    <x v="1"/>
  </r>
  <r>
    <s v="TKT-0447"/>
    <x v="186"/>
    <d v="2025-01-25T01:28:00"/>
    <s v="Account"/>
    <s v="Social Media"/>
    <x v="0"/>
    <x v="0"/>
    <x v="0"/>
    <n v="13.6"/>
    <n v="4"/>
    <x v="1"/>
    <x v="3"/>
  </r>
  <r>
    <s v="TKT-0409"/>
    <x v="187"/>
    <d v="2025-03-19T19:16:00"/>
    <s v="Product Information"/>
    <s v="Email"/>
    <x v="3"/>
    <x v="0"/>
    <x v="4"/>
    <n v="19.8"/>
    <n v="4"/>
    <x v="2"/>
    <x v="1"/>
  </r>
  <r>
    <s v="TKT-0150"/>
    <x v="188"/>
    <d v="2025-02-11T15:03:00"/>
    <s v="Account"/>
    <s v="Social Media"/>
    <x v="1"/>
    <x v="0"/>
    <x v="3"/>
    <n v="20"/>
    <n v="4"/>
    <x v="1"/>
    <x v="3"/>
  </r>
  <r>
    <s v="TKT-0307"/>
    <x v="189"/>
    <d v="2025-05-14T05:47:00"/>
    <s v="Account"/>
    <s v="Chat"/>
    <x v="1"/>
    <x v="0"/>
    <x v="7"/>
    <n v="24.2"/>
    <n v="4"/>
    <x v="1"/>
    <x v="2"/>
  </r>
  <r>
    <s v="TKT-0109"/>
    <x v="190"/>
    <d v="2025-01-21T16:32:00"/>
    <s v="Refund"/>
    <s v="Email"/>
    <x v="0"/>
    <x v="0"/>
    <x v="0"/>
    <n v="24.7"/>
    <n v="4"/>
    <x v="4"/>
    <x v="1"/>
  </r>
  <r>
    <s v="TKT-0170"/>
    <x v="191"/>
    <d v="2025-04-04T10:05:00"/>
    <s v="Payment"/>
    <s v="Chat"/>
    <x v="3"/>
    <x v="0"/>
    <x v="7"/>
    <n v="24.9"/>
    <n v="4"/>
    <x v="3"/>
    <x v="2"/>
  </r>
  <r>
    <s v="TKT-0079"/>
    <x v="192"/>
    <d v="2025-04-21T01:17:00"/>
    <s v="Technical Issue"/>
    <s v="Phone"/>
    <x v="0"/>
    <x v="0"/>
    <x v="6"/>
    <n v="25.7"/>
    <n v="4"/>
    <x v="0"/>
    <x v="0"/>
  </r>
  <r>
    <s v="TKT-0269"/>
    <x v="193"/>
    <d v="2025-05-02T13:58:00"/>
    <s v="Delivery"/>
    <s v="Chat"/>
    <x v="3"/>
    <x v="0"/>
    <x v="1"/>
    <n v="27"/>
    <n v="4"/>
    <x v="5"/>
    <x v="2"/>
  </r>
  <r>
    <s v="TKT-0062"/>
    <x v="194"/>
    <d v="2025-03-12T17:49:00"/>
    <s v="Refund"/>
    <s v="Chat"/>
    <x v="1"/>
    <x v="0"/>
    <x v="7"/>
    <n v="28.3"/>
    <n v="4"/>
    <x v="4"/>
    <x v="2"/>
  </r>
  <r>
    <s v="TKT-0100"/>
    <x v="195"/>
    <d v="2025-03-12T00:56:00"/>
    <s v="Delivery"/>
    <s v="Email"/>
    <x v="3"/>
    <x v="0"/>
    <x v="7"/>
    <n v="31.8"/>
    <n v="4"/>
    <x v="5"/>
    <x v="1"/>
  </r>
  <r>
    <s v="TKT-0305"/>
    <x v="196"/>
    <d v="2025-02-24T03:00:00"/>
    <s v="Refund"/>
    <s v="Social Media"/>
    <x v="0"/>
    <x v="0"/>
    <x v="5"/>
    <n v="34.5"/>
    <n v="4"/>
    <x v="4"/>
    <x v="3"/>
  </r>
  <r>
    <s v="TKT-0210"/>
    <x v="197"/>
    <d v="2025-06-12T04:18:00"/>
    <s v="Technical Issue"/>
    <s v="Social Media"/>
    <x v="2"/>
    <x v="0"/>
    <x v="1"/>
    <n v="35"/>
    <n v="4"/>
    <x v="0"/>
    <x v="3"/>
  </r>
  <r>
    <s v="TKT-0450"/>
    <x v="198"/>
    <d v="2025-04-04T06:01:00"/>
    <s v="Delivery"/>
    <s v="Social Media"/>
    <x v="1"/>
    <x v="0"/>
    <x v="1"/>
    <n v="35"/>
    <n v="4"/>
    <x v="5"/>
    <x v="3"/>
  </r>
  <r>
    <s v="TKT-0452"/>
    <x v="199"/>
    <d v="2025-04-23T08:46:00"/>
    <s v="Payment"/>
    <s v="Email"/>
    <x v="2"/>
    <x v="0"/>
    <x v="7"/>
    <n v="35"/>
    <n v="4"/>
    <x v="3"/>
    <x v="1"/>
  </r>
  <r>
    <s v="TKT-0198"/>
    <x v="200"/>
    <d v="2025-03-06T15:13:00"/>
    <s v="Product Information"/>
    <s v="Email"/>
    <x v="0"/>
    <x v="0"/>
    <x v="3"/>
    <n v="36.200000000000003"/>
    <n v="4"/>
    <x v="2"/>
    <x v="1"/>
  </r>
  <r>
    <s v="TKT-0463"/>
    <x v="201"/>
    <d v="2025-01-04T08:53:00"/>
    <s v="Product Information"/>
    <s v="Social Media"/>
    <x v="3"/>
    <x v="0"/>
    <x v="7"/>
    <n v="40.1"/>
    <n v="4"/>
    <x v="2"/>
    <x v="3"/>
  </r>
  <r>
    <s v="TKT-0069"/>
    <x v="202"/>
    <d v="2025-01-30T11:43:00"/>
    <s v="Account"/>
    <s v="Chat"/>
    <x v="2"/>
    <x v="0"/>
    <x v="6"/>
    <n v="41.7"/>
    <n v="4"/>
    <x v="1"/>
    <x v="2"/>
  </r>
  <r>
    <s v="TKT-0282"/>
    <x v="203"/>
    <d v="2025-02-17T04:31:00"/>
    <s v="Delivery"/>
    <s v="Phone"/>
    <x v="3"/>
    <x v="0"/>
    <x v="6"/>
    <n v="42.5"/>
    <n v="4"/>
    <x v="5"/>
    <x v="0"/>
  </r>
  <r>
    <s v="TKT-0337"/>
    <x v="204"/>
    <d v="2025-01-27T23:30:00"/>
    <s v="Technical Issue"/>
    <s v="Social Media"/>
    <x v="0"/>
    <x v="0"/>
    <x v="7"/>
    <n v="42.7"/>
    <n v="4"/>
    <x v="0"/>
    <x v="3"/>
  </r>
  <r>
    <s v="TKT-0194"/>
    <x v="205"/>
    <d v="2025-04-02T10:32:00"/>
    <s v="Technical Issue"/>
    <s v="Email"/>
    <x v="2"/>
    <x v="0"/>
    <x v="0"/>
    <n v="44.5"/>
    <n v="4"/>
    <x v="0"/>
    <x v="1"/>
  </r>
  <r>
    <s v="TKT-0099"/>
    <x v="206"/>
    <d v="2025-01-16T03:33:00"/>
    <s v="Refund"/>
    <s v="Social Media"/>
    <x v="2"/>
    <x v="0"/>
    <x v="6"/>
    <n v="45"/>
    <n v="4"/>
    <x v="4"/>
    <x v="3"/>
  </r>
  <r>
    <s v="TKT-0083"/>
    <x v="207"/>
    <d v="2025-05-24T07:50:00"/>
    <s v="Delivery"/>
    <s v="Email"/>
    <x v="0"/>
    <x v="0"/>
    <x v="4"/>
    <n v="46.1"/>
    <n v="4"/>
    <x v="5"/>
    <x v="1"/>
  </r>
  <r>
    <s v="TKT-0116"/>
    <x v="208"/>
    <d v="2025-04-26T09:49:00"/>
    <s v="Refund"/>
    <s v="Phone"/>
    <x v="1"/>
    <x v="0"/>
    <x v="3"/>
    <n v="46.2"/>
    <n v="4"/>
    <x v="4"/>
    <x v="0"/>
  </r>
  <r>
    <s v="TKT-0204"/>
    <x v="209"/>
    <d v="2025-05-30T00:32:00"/>
    <s v="Account"/>
    <s v="Phone"/>
    <x v="3"/>
    <x v="0"/>
    <x v="7"/>
    <n v="46.4"/>
    <n v="4"/>
    <x v="1"/>
    <x v="0"/>
  </r>
  <r>
    <s v="TKT-0396"/>
    <x v="210"/>
    <d v="2025-05-08T19:40:00"/>
    <s v="Payment"/>
    <s v="Phone"/>
    <x v="1"/>
    <x v="0"/>
    <x v="2"/>
    <n v="46.4"/>
    <n v="4"/>
    <x v="3"/>
    <x v="0"/>
  </r>
  <r>
    <s v="TKT-0199"/>
    <x v="211"/>
    <d v="2025-04-27T08:45:00"/>
    <s v="Payment"/>
    <s v="Email"/>
    <x v="3"/>
    <x v="0"/>
    <x v="5"/>
    <n v="50.1"/>
    <n v="4"/>
    <x v="3"/>
    <x v="1"/>
  </r>
  <r>
    <s v="TKT-0018"/>
    <x v="212"/>
    <d v="2025-02-26T21:18:00"/>
    <s v="Delivery"/>
    <s v="Phone"/>
    <x v="1"/>
    <x v="0"/>
    <x v="4"/>
    <n v="51.5"/>
    <n v="4"/>
    <x v="5"/>
    <x v="0"/>
  </r>
  <r>
    <s v="TKT-0299"/>
    <x v="213"/>
    <d v="2025-03-05T12:18:00"/>
    <s v="Delivery"/>
    <s v="Social Media"/>
    <x v="1"/>
    <x v="0"/>
    <x v="0"/>
    <n v="51.6"/>
    <n v="4"/>
    <x v="5"/>
    <x v="3"/>
  </r>
  <r>
    <s v="TKT-0218"/>
    <x v="214"/>
    <d v="2025-01-30T17:38:00"/>
    <s v="Technical Issue"/>
    <s v="Email"/>
    <x v="1"/>
    <x v="0"/>
    <x v="1"/>
    <n v="52.5"/>
    <n v="4"/>
    <x v="0"/>
    <x v="1"/>
  </r>
  <r>
    <s v="TKT-0327"/>
    <x v="215"/>
    <d v="2025-03-27T22:48:00"/>
    <s v="Refund"/>
    <s v="Phone"/>
    <x v="2"/>
    <x v="0"/>
    <x v="0"/>
    <n v="52.8"/>
    <n v="4"/>
    <x v="4"/>
    <x v="0"/>
  </r>
  <r>
    <s v="TKT-0296"/>
    <x v="216"/>
    <d v="2025-02-17T17:20:00"/>
    <s v="Product Information"/>
    <s v="Chat"/>
    <x v="0"/>
    <x v="0"/>
    <x v="0"/>
    <n v="53"/>
    <n v="4"/>
    <x v="2"/>
    <x v="2"/>
  </r>
  <r>
    <s v="TKT-0056"/>
    <x v="217"/>
    <d v="2025-05-23T20:39:00"/>
    <s v="Account"/>
    <s v="Phone"/>
    <x v="3"/>
    <x v="0"/>
    <x v="3"/>
    <n v="53.7"/>
    <n v="4"/>
    <x v="1"/>
    <x v="0"/>
  </r>
  <r>
    <s v="TKT-0262"/>
    <x v="218"/>
    <d v="2025-02-10T15:48:00"/>
    <s v="Payment"/>
    <s v="Chat"/>
    <x v="0"/>
    <x v="0"/>
    <x v="7"/>
    <n v="54.4"/>
    <n v="4"/>
    <x v="3"/>
    <x v="2"/>
  </r>
  <r>
    <s v="TKT-0180"/>
    <x v="219"/>
    <d v="2025-05-04T05:41:00"/>
    <s v="Account"/>
    <s v="Email"/>
    <x v="2"/>
    <x v="0"/>
    <x v="1"/>
    <n v="54.8"/>
    <n v="4"/>
    <x v="1"/>
    <x v="1"/>
  </r>
  <r>
    <s v="TKT-0253"/>
    <x v="220"/>
    <d v="2025-04-17T13:07:00"/>
    <s v="Technical Issue"/>
    <s v="Social Media"/>
    <x v="1"/>
    <x v="0"/>
    <x v="0"/>
    <n v="55.3"/>
    <n v="4"/>
    <x v="0"/>
    <x v="3"/>
  </r>
  <r>
    <s v="TKT-0497"/>
    <x v="221"/>
    <d v="2025-05-05T22:22:00"/>
    <s v="Product Information"/>
    <s v="Email"/>
    <x v="3"/>
    <x v="0"/>
    <x v="5"/>
    <n v="55.9"/>
    <n v="4"/>
    <x v="2"/>
    <x v="1"/>
  </r>
  <r>
    <s v="TKT-0041"/>
    <x v="222"/>
    <d v="2025-02-18T08:23:00"/>
    <s v="Refund"/>
    <s v="Chat"/>
    <x v="0"/>
    <x v="0"/>
    <x v="7"/>
    <n v="56.4"/>
    <n v="4"/>
    <x v="4"/>
    <x v="2"/>
  </r>
  <r>
    <s v="TKT-0496"/>
    <x v="223"/>
    <d v="2025-02-15T09:02:00"/>
    <s v="Technical Issue"/>
    <s v="Phone"/>
    <x v="3"/>
    <x v="0"/>
    <x v="2"/>
    <n v="56.7"/>
    <n v="4"/>
    <x v="0"/>
    <x v="0"/>
  </r>
  <r>
    <s v="TKT-0333"/>
    <x v="224"/>
    <d v="2025-01-05T11:38:00"/>
    <s v="Refund"/>
    <s v="Chat"/>
    <x v="1"/>
    <x v="0"/>
    <x v="5"/>
    <n v="58.9"/>
    <n v="4"/>
    <x v="4"/>
    <x v="2"/>
  </r>
  <r>
    <s v="TKT-0123"/>
    <x v="225"/>
    <d v="2025-05-02T16:09:00"/>
    <s v="Product Information"/>
    <s v="Phone"/>
    <x v="2"/>
    <x v="0"/>
    <x v="0"/>
    <n v="62"/>
    <n v="4"/>
    <x v="2"/>
    <x v="0"/>
  </r>
  <r>
    <s v="TKT-0482"/>
    <x v="226"/>
    <d v="2025-02-26T11:58:00"/>
    <s v="Delivery"/>
    <s v="Chat"/>
    <x v="1"/>
    <x v="0"/>
    <x v="5"/>
    <n v="62.3"/>
    <n v="4"/>
    <x v="5"/>
    <x v="2"/>
  </r>
  <r>
    <s v="TKT-0388"/>
    <x v="227"/>
    <d v="2025-04-26T15:08:00"/>
    <s v="Account"/>
    <s v="Phone"/>
    <x v="1"/>
    <x v="0"/>
    <x v="5"/>
    <n v="63.7"/>
    <n v="4"/>
    <x v="1"/>
    <x v="0"/>
  </r>
  <r>
    <s v="TKT-0422"/>
    <x v="228"/>
    <d v="2025-06-20T08:36:00"/>
    <s v="Account"/>
    <s v="Email"/>
    <x v="3"/>
    <x v="0"/>
    <x v="2"/>
    <n v="65.3"/>
    <n v="4"/>
    <x v="1"/>
    <x v="1"/>
  </r>
  <r>
    <s v="TKT-0369"/>
    <x v="229"/>
    <d v="2025-01-14T08:39:00"/>
    <s v="Refund"/>
    <s v="Social Media"/>
    <x v="1"/>
    <x v="0"/>
    <x v="1"/>
    <n v="66.599999999999994"/>
    <n v="4"/>
    <x v="4"/>
    <x v="3"/>
  </r>
  <r>
    <s v="TKT-0027"/>
    <x v="230"/>
    <d v="2025-04-10T19:06:00"/>
    <s v="Technical Issue"/>
    <s v="Social Media"/>
    <x v="1"/>
    <x v="0"/>
    <x v="7"/>
    <n v="66.7"/>
    <n v="4"/>
    <x v="0"/>
    <x v="3"/>
  </r>
  <r>
    <s v="TKT-0471"/>
    <x v="231"/>
    <d v="2025-05-14T17:00:00"/>
    <s v="Account"/>
    <s v="Phone"/>
    <x v="2"/>
    <x v="0"/>
    <x v="1"/>
    <n v="66.7"/>
    <n v="4"/>
    <x v="1"/>
    <x v="0"/>
  </r>
  <r>
    <s v="TKT-0288"/>
    <x v="232"/>
    <d v="2025-04-05T22:59:00"/>
    <s v="Technical Issue"/>
    <s v="Phone"/>
    <x v="2"/>
    <x v="0"/>
    <x v="7"/>
    <n v="67.900000000000006"/>
    <n v="4"/>
    <x v="0"/>
    <x v="0"/>
  </r>
  <r>
    <s v="TKT-0246"/>
    <x v="233"/>
    <d v="2025-04-08T16:14:00"/>
    <s v="Payment"/>
    <s v="Social Media"/>
    <x v="0"/>
    <x v="0"/>
    <x v="0"/>
    <n v="69"/>
    <n v="4"/>
    <x v="3"/>
    <x v="3"/>
  </r>
  <r>
    <s v="TKT-0395"/>
    <x v="234"/>
    <d v="2025-02-25T04:04:00"/>
    <s v="Delivery"/>
    <s v="Phone"/>
    <x v="1"/>
    <x v="0"/>
    <x v="4"/>
    <n v="70.400000000000006"/>
    <n v="4"/>
    <x v="5"/>
    <x v="0"/>
  </r>
  <r>
    <s v="TKT-0137"/>
    <x v="235"/>
    <d v="2025-05-01T19:55:00"/>
    <s v="Account"/>
    <s v="Email"/>
    <x v="1"/>
    <x v="0"/>
    <x v="4"/>
    <n v="71.900000000000006"/>
    <n v="4"/>
    <x v="1"/>
    <x v="1"/>
  </r>
  <r>
    <s v="TKT-0451"/>
    <x v="236"/>
    <d v="2025-01-17T10:05:00"/>
    <s v="Refund"/>
    <s v="Chat"/>
    <x v="0"/>
    <x v="0"/>
    <x v="5"/>
    <n v="1.4"/>
    <n v="5"/>
    <x v="4"/>
    <x v="2"/>
  </r>
  <r>
    <s v="TKT-0257"/>
    <x v="237"/>
    <d v="2025-06-07T05:33:00"/>
    <s v="Delivery"/>
    <s v="Social Media"/>
    <x v="2"/>
    <x v="0"/>
    <x v="6"/>
    <n v="5.3"/>
    <n v="5"/>
    <x v="5"/>
    <x v="3"/>
  </r>
  <r>
    <s v="TKT-0248"/>
    <x v="238"/>
    <d v="2025-05-15T20:39:00"/>
    <s v="Delivery"/>
    <s v="Email"/>
    <x v="3"/>
    <x v="0"/>
    <x v="7"/>
    <n v="6.1"/>
    <n v="5"/>
    <x v="5"/>
    <x v="1"/>
  </r>
  <r>
    <s v="TKT-0402"/>
    <x v="239"/>
    <d v="2025-06-02T15:02:00"/>
    <s v="Account"/>
    <s v="Phone"/>
    <x v="0"/>
    <x v="0"/>
    <x v="4"/>
    <n v="6.7"/>
    <n v="5"/>
    <x v="1"/>
    <x v="0"/>
  </r>
  <r>
    <s v="TKT-0094"/>
    <x v="240"/>
    <d v="2025-03-25T02:16:00"/>
    <s v="Product Information"/>
    <s v="Email"/>
    <x v="0"/>
    <x v="0"/>
    <x v="1"/>
    <n v="7"/>
    <n v="5"/>
    <x v="2"/>
    <x v="1"/>
  </r>
  <r>
    <s v="TKT-0148"/>
    <x v="241"/>
    <d v="2025-01-18T11:53:00"/>
    <s v="Payment"/>
    <s v="Social Media"/>
    <x v="1"/>
    <x v="0"/>
    <x v="4"/>
    <n v="7.1"/>
    <n v="5"/>
    <x v="3"/>
    <x v="3"/>
  </r>
  <r>
    <s v="TKT-0449"/>
    <x v="242"/>
    <d v="2025-06-29T06:57:00"/>
    <s v="Account"/>
    <s v="Social Media"/>
    <x v="3"/>
    <x v="0"/>
    <x v="0"/>
    <n v="7.9"/>
    <n v="5"/>
    <x v="1"/>
    <x v="3"/>
  </r>
  <r>
    <s v="TKT-0080"/>
    <x v="243"/>
    <d v="2025-02-01T08:12:00"/>
    <s v="Refund"/>
    <s v="Chat"/>
    <x v="3"/>
    <x v="0"/>
    <x v="6"/>
    <n v="9"/>
    <n v="5"/>
    <x v="4"/>
    <x v="2"/>
  </r>
  <r>
    <s v="TKT-0474"/>
    <x v="244"/>
    <d v="2025-04-20T18:23:00"/>
    <s v="Technical Issue"/>
    <s v="Email"/>
    <x v="0"/>
    <x v="0"/>
    <x v="4"/>
    <n v="9.8000000000000007"/>
    <n v="5"/>
    <x v="0"/>
    <x v="1"/>
  </r>
  <r>
    <s v="TKT-0085"/>
    <x v="245"/>
    <d v="2025-05-06T13:54:00"/>
    <s v="Technical Issue"/>
    <s v="Email"/>
    <x v="3"/>
    <x v="0"/>
    <x v="5"/>
    <n v="11.3"/>
    <n v="5"/>
    <x v="0"/>
    <x v="1"/>
  </r>
  <r>
    <s v="TKT-0245"/>
    <x v="246"/>
    <d v="2025-06-20T15:23:00"/>
    <s v="Refund"/>
    <s v="Phone"/>
    <x v="2"/>
    <x v="0"/>
    <x v="3"/>
    <n v="11.9"/>
    <n v="5"/>
    <x v="4"/>
    <x v="0"/>
  </r>
  <r>
    <s v="TKT-0301"/>
    <x v="247"/>
    <d v="2025-01-28T20:06:00"/>
    <s v="Delivery"/>
    <s v="Social Media"/>
    <x v="0"/>
    <x v="0"/>
    <x v="0"/>
    <n v="12.4"/>
    <n v="5"/>
    <x v="5"/>
    <x v="3"/>
  </r>
  <r>
    <s v="TKT-0156"/>
    <x v="248"/>
    <d v="2025-01-31T00:49:00"/>
    <s v="Account"/>
    <s v="Phone"/>
    <x v="2"/>
    <x v="0"/>
    <x v="0"/>
    <n v="12.8"/>
    <n v="5"/>
    <x v="1"/>
    <x v="0"/>
  </r>
  <r>
    <s v="TKT-0172"/>
    <x v="249"/>
    <d v="2025-06-03T01:33:00"/>
    <s v="Payment"/>
    <s v="Social Media"/>
    <x v="2"/>
    <x v="0"/>
    <x v="0"/>
    <n v="13.4"/>
    <n v="5"/>
    <x v="3"/>
    <x v="3"/>
  </r>
  <r>
    <s v="TKT-0493"/>
    <x v="250"/>
    <d v="2025-06-21T16:52:00"/>
    <s v="Account"/>
    <s v="Phone"/>
    <x v="0"/>
    <x v="0"/>
    <x v="7"/>
    <n v="14.6"/>
    <n v="5"/>
    <x v="1"/>
    <x v="0"/>
  </r>
  <r>
    <s v="TKT-0321"/>
    <x v="251"/>
    <d v="2025-04-23T19:19:00"/>
    <s v="Refund"/>
    <s v="Phone"/>
    <x v="1"/>
    <x v="0"/>
    <x v="7"/>
    <n v="15.5"/>
    <n v="5"/>
    <x v="4"/>
    <x v="0"/>
  </r>
  <r>
    <s v="TKT-0302"/>
    <x v="252"/>
    <d v="2025-01-28T16:30:00"/>
    <s v="Product Information"/>
    <s v="Chat"/>
    <x v="1"/>
    <x v="0"/>
    <x v="2"/>
    <n v="16.399999999999999"/>
    <n v="5"/>
    <x v="2"/>
    <x v="2"/>
  </r>
  <r>
    <s v="TKT-0417"/>
    <x v="253"/>
    <d v="2025-06-15T22:08:00"/>
    <s v="Technical Issue"/>
    <s v="Phone"/>
    <x v="1"/>
    <x v="0"/>
    <x v="0"/>
    <n v="16.5"/>
    <n v="5"/>
    <x v="0"/>
    <x v="0"/>
  </r>
  <r>
    <s v="TKT-0002"/>
    <x v="254"/>
    <d v="2025-01-09T17:11:00"/>
    <s v="Delivery"/>
    <s v="Chat"/>
    <x v="1"/>
    <x v="0"/>
    <x v="6"/>
    <n v="17.100000000000001"/>
    <n v="5"/>
    <x v="5"/>
    <x v="2"/>
  </r>
  <r>
    <s v="TKT-0127"/>
    <x v="255"/>
    <d v="2025-03-20T08:25:00"/>
    <s v="Payment"/>
    <s v="Social Media"/>
    <x v="1"/>
    <x v="0"/>
    <x v="2"/>
    <n v="17.3"/>
    <n v="5"/>
    <x v="3"/>
    <x v="3"/>
  </r>
  <r>
    <s v="TKT-0182"/>
    <x v="256"/>
    <d v="2025-03-03T02:37:00"/>
    <s v="Account"/>
    <s v="Email"/>
    <x v="2"/>
    <x v="0"/>
    <x v="4"/>
    <n v="17.5"/>
    <n v="5"/>
    <x v="1"/>
    <x v="1"/>
  </r>
  <r>
    <s v="TKT-0088"/>
    <x v="257"/>
    <d v="2025-03-10T14:47:00"/>
    <s v="Delivery"/>
    <s v="Chat"/>
    <x v="2"/>
    <x v="0"/>
    <x v="0"/>
    <n v="17.7"/>
    <n v="5"/>
    <x v="5"/>
    <x v="2"/>
  </r>
  <r>
    <s v="TKT-0234"/>
    <x v="258"/>
    <d v="2025-06-08T17:25:00"/>
    <s v="Payment"/>
    <s v="Chat"/>
    <x v="2"/>
    <x v="0"/>
    <x v="5"/>
    <n v="17.8"/>
    <n v="5"/>
    <x v="3"/>
    <x v="2"/>
  </r>
  <r>
    <s v="TKT-0338"/>
    <x v="259"/>
    <d v="2025-03-06T02:53:00"/>
    <s v="Product Information"/>
    <s v="Phone"/>
    <x v="2"/>
    <x v="0"/>
    <x v="3"/>
    <n v="18.2"/>
    <n v="5"/>
    <x v="2"/>
    <x v="0"/>
  </r>
  <r>
    <s v="TKT-0231"/>
    <x v="260"/>
    <d v="2025-05-04T08:41:00"/>
    <s v="Refund"/>
    <s v="Social Media"/>
    <x v="1"/>
    <x v="0"/>
    <x v="2"/>
    <n v="21.1"/>
    <n v="5"/>
    <x v="4"/>
    <x v="3"/>
  </r>
  <r>
    <s v="TKT-0082"/>
    <x v="261"/>
    <d v="2025-03-18T05:29:00"/>
    <s v="Payment"/>
    <s v="Phone"/>
    <x v="2"/>
    <x v="0"/>
    <x v="1"/>
    <n v="22.1"/>
    <n v="5"/>
    <x v="3"/>
    <x v="0"/>
  </r>
  <r>
    <s v="TKT-0193"/>
    <x v="262"/>
    <d v="2025-01-28T00:44:00"/>
    <s v="Refund"/>
    <s v="Social Media"/>
    <x v="3"/>
    <x v="0"/>
    <x v="4"/>
    <n v="22.4"/>
    <n v="5"/>
    <x v="4"/>
    <x v="3"/>
  </r>
  <r>
    <s v="TKT-0019"/>
    <x v="263"/>
    <d v="2025-02-01T07:56:00"/>
    <s v="Product Information"/>
    <s v="Chat"/>
    <x v="3"/>
    <x v="0"/>
    <x v="1"/>
    <n v="24.7"/>
    <n v="5"/>
    <x v="2"/>
    <x v="2"/>
  </r>
  <r>
    <s v="TKT-0196"/>
    <x v="264"/>
    <d v="2025-01-19T10:13:00"/>
    <s v="Delivery"/>
    <s v="Chat"/>
    <x v="1"/>
    <x v="0"/>
    <x v="2"/>
    <n v="26.4"/>
    <n v="5"/>
    <x v="5"/>
    <x v="2"/>
  </r>
  <r>
    <s v="TKT-0174"/>
    <x v="265"/>
    <d v="2025-03-22T18:45:00"/>
    <s v="Account"/>
    <s v="Social Media"/>
    <x v="0"/>
    <x v="0"/>
    <x v="0"/>
    <n v="26.8"/>
    <n v="5"/>
    <x v="1"/>
    <x v="3"/>
  </r>
  <r>
    <s v="TKT-0012"/>
    <x v="266"/>
    <d v="2025-06-25T17:38:00"/>
    <s v="Account"/>
    <s v="Phone"/>
    <x v="2"/>
    <x v="0"/>
    <x v="5"/>
    <n v="28"/>
    <n v="5"/>
    <x v="1"/>
    <x v="0"/>
  </r>
  <r>
    <s v="TKT-0393"/>
    <x v="267"/>
    <d v="2025-03-19T11:42:00"/>
    <s v="Account"/>
    <s v="Chat"/>
    <x v="2"/>
    <x v="0"/>
    <x v="2"/>
    <n v="28.6"/>
    <n v="5"/>
    <x v="1"/>
    <x v="2"/>
  </r>
  <r>
    <s v="TKT-0030"/>
    <x v="268"/>
    <d v="2025-06-03T08:07:00"/>
    <s v="Payment"/>
    <s v="Email"/>
    <x v="2"/>
    <x v="0"/>
    <x v="0"/>
    <n v="29.4"/>
    <n v="5"/>
    <x v="3"/>
    <x v="1"/>
  </r>
  <r>
    <s v="TKT-0428"/>
    <x v="269"/>
    <d v="2025-02-09T10:00:00"/>
    <s v="Account"/>
    <s v="Chat"/>
    <x v="0"/>
    <x v="0"/>
    <x v="7"/>
    <n v="29.8"/>
    <n v="5"/>
    <x v="1"/>
    <x v="2"/>
  </r>
  <r>
    <s v="TKT-0045"/>
    <x v="270"/>
    <d v="2025-06-03T21:04:00"/>
    <s v="Delivery"/>
    <s v="Social Media"/>
    <x v="3"/>
    <x v="0"/>
    <x v="3"/>
    <n v="31.7"/>
    <n v="5"/>
    <x v="5"/>
    <x v="3"/>
  </r>
  <r>
    <s v="TKT-0250"/>
    <x v="271"/>
    <d v="2025-05-12T23:45:00"/>
    <s v="Account"/>
    <s v="Social Media"/>
    <x v="2"/>
    <x v="0"/>
    <x v="4"/>
    <n v="32.9"/>
    <n v="5"/>
    <x v="1"/>
    <x v="3"/>
  </r>
  <r>
    <s v="TKT-0418"/>
    <x v="272"/>
    <d v="2025-04-02T00:10:00"/>
    <s v="Product Information"/>
    <s v="Social Media"/>
    <x v="2"/>
    <x v="0"/>
    <x v="1"/>
    <n v="33.9"/>
    <n v="5"/>
    <x v="2"/>
    <x v="3"/>
  </r>
  <r>
    <s v="TKT-0426"/>
    <x v="273"/>
    <d v="2025-05-31T19:35:00"/>
    <s v="Product Information"/>
    <s v="Email"/>
    <x v="1"/>
    <x v="0"/>
    <x v="6"/>
    <n v="34.1"/>
    <n v="5"/>
    <x v="2"/>
    <x v="1"/>
  </r>
  <r>
    <s v="TKT-0314"/>
    <x v="274"/>
    <d v="2025-05-29T23:45:00"/>
    <s v="Refund"/>
    <s v="Chat"/>
    <x v="3"/>
    <x v="0"/>
    <x v="4"/>
    <n v="35.299999999999997"/>
    <n v="5"/>
    <x v="4"/>
    <x v="2"/>
  </r>
  <r>
    <s v="TKT-0340"/>
    <x v="275"/>
    <d v="2025-05-09T00:19:00"/>
    <s v="Delivery"/>
    <s v="Email"/>
    <x v="0"/>
    <x v="0"/>
    <x v="2"/>
    <n v="36.200000000000003"/>
    <n v="5"/>
    <x v="5"/>
    <x v="1"/>
  </r>
  <r>
    <s v="TKT-0400"/>
    <x v="276"/>
    <d v="2025-01-23T01:21:00"/>
    <s v="Product Information"/>
    <s v="Chat"/>
    <x v="2"/>
    <x v="0"/>
    <x v="4"/>
    <n v="36.4"/>
    <n v="5"/>
    <x v="2"/>
    <x v="2"/>
  </r>
  <r>
    <s v="TKT-0454"/>
    <x v="277"/>
    <d v="2025-03-04T22:59:00"/>
    <s v="Refund"/>
    <s v="Social Media"/>
    <x v="1"/>
    <x v="0"/>
    <x v="6"/>
    <n v="36.700000000000003"/>
    <n v="5"/>
    <x v="4"/>
    <x v="3"/>
  </r>
  <r>
    <s v="TKT-0171"/>
    <x v="278"/>
    <d v="2025-01-21T22:42:00"/>
    <s v="Refund"/>
    <s v="Email"/>
    <x v="0"/>
    <x v="0"/>
    <x v="7"/>
    <n v="36.799999999999997"/>
    <n v="5"/>
    <x v="4"/>
    <x v="1"/>
  </r>
  <r>
    <s v="TKT-0189"/>
    <x v="279"/>
    <d v="2025-02-22T14:38:00"/>
    <s v="Account"/>
    <s v="Phone"/>
    <x v="2"/>
    <x v="0"/>
    <x v="6"/>
    <n v="37.299999999999997"/>
    <n v="5"/>
    <x v="1"/>
    <x v="0"/>
  </r>
  <r>
    <s v="TKT-0046"/>
    <x v="280"/>
    <d v="2025-01-14T12:09:00"/>
    <s v="Refund"/>
    <s v="Chat"/>
    <x v="0"/>
    <x v="0"/>
    <x v="0"/>
    <n v="37.700000000000003"/>
    <n v="5"/>
    <x v="4"/>
    <x v="2"/>
  </r>
  <r>
    <s v="TKT-0015"/>
    <x v="281"/>
    <d v="2025-02-11T02:54:00"/>
    <s v="Delivery"/>
    <s v="Phone"/>
    <x v="1"/>
    <x v="0"/>
    <x v="1"/>
    <n v="39.1"/>
    <n v="5"/>
    <x v="5"/>
    <x v="0"/>
  </r>
  <r>
    <s v="TKT-0181"/>
    <x v="282"/>
    <d v="2025-03-08T22:35:00"/>
    <s v="Product Information"/>
    <s v="Social Media"/>
    <x v="2"/>
    <x v="0"/>
    <x v="3"/>
    <n v="39.700000000000003"/>
    <n v="5"/>
    <x v="2"/>
    <x v="3"/>
  </r>
  <r>
    <s v="TKT-0484"/>
    <x v="283"/>
    <d v="2025-01-20T17:35:00"/>
    <s v="Payment"/>
    <s v="Phone"/>
    <x v="1"/>
    <x v="0"/>
    <x v="0"/>
    <n v="40.4"/>
    <n v="5"/>
    <x v="3"/>
    <x v="0"/>
  </r>
  <r>
    <s v="TKT-0419"/>
    <x v="284"/>
    <d v="2025-05-13T14:29:00"/>
    <s v="Product Information"/>
    <s v="Phone"/>
    <x v="0"/>
    <x v="0"/>
    <x v="5"/>
    <n v="40.6"/>
    <n v="5"/>
    <x v="2"/>
    <x v="0"/>
  </r>
  <r>
    <s v="TKT-0197"/>
    <x v="285"/>
    <d v="2025-04-08T08:18:00"/>
    <s v="Technical Issue"/>
    <s v="Social Media"/>
    <x v="0"/>
    <x v="0"/>
    <x v="3"/>
    <n v="41.5"/>
    <n v="5"/>
    <x v="0"/>
    <x v="3"/>
  </r>
  <r>
    <s v="TKT-0323"/>
    <x v="286"/>
    <d v="2025-03-26T15:48:00"/>
    <s v="Refund"/>
    <s v="Email"/>
    <x v="3"/>
    <x v="0"/>
    <x v="0"/>
    <n v="41.5"/>
    <n v="5"/>
    <x v="4"/>
    <x v="1"/>
  </r>
  <r>
    <s v="TKT-0028"/>
    <x v="287"/>
    <d v="2025-02-20T03:07:00"/>
    <s v="Delivery"/>
    <s v="Phone"/>
    <x v="2"/>
    <x v="0"/>
    <x v="1"/>
    <n v="41.9"/>
    <n v="5"/>
    <x v="5"/>
    <x v="0"/>
  </r>
  <r>
    <s v="TKT-0223"/>
    <x v="288"/>
    <d v="2025-04-13T14:47:00"/>
    <s v="Product Information"/>
    <s v="Social Media"/>
    <x v="0"/>
    <x v="0"/>
    <x v="4"/>
    <n v="43"/>
    <n v="5"/>
    <x v="2"/>
    <x v="3"/>
  </r>
  <r>
    <s v="TKT-0475"/>
    <x v="289"/>
    <d v="2025-02-10T20:21:00"/>
    <s v="Refund"/>
    <s v="Phone"/>
    <x v="1"/>
    <x v="0"/>
    <x v="2"/>
    <n v="43.2"/>
    <n v="5"/>
    <x v="4"/>
    <x v="0"/>
  </r>
  <r>
    <s v="TKT-0125"/>
    <x v="290"/>
    <d v="2025-06-24T04:18:00"/>
    <s v="Technical Issue"/>
    <s v="Chat"/>
    <x v="2"/>
    <x v="0"/>
    <x v="4"/>
    <n v="44.8"/>
    <n v="5"/>
    <x v="0"/>
    <x v="2"/>
  </r>
  <r>
    <s v="TKT-0207"/>
    <x v="291"/>
    <d v="2025-06-14T14:29:00"/>
    <s v="Product Information"/>
    <s v="Email"/>
    <x v="3"/>
    <x v="0"/>
    <x v="7"/>
    <n v="45.2"/>
    <n v="5"/>
    <x v="2"/>
    <x v="1"/>
  </r>
  <r>
    <s v="TKT-0343"/>
    <x v="292"/>
    <d v="2025-04-21T20:43:00"/>
    <s v="Product Information"/>
    <s v="Chat"/>
    <x v="0"/>
    <x v="0"/>
    <x v="5"/>
    <n v="46.3"/>
    <n v="5"/>
    <x v="2"/>
    <x v="2"/>
  </r>
  <r>
    <s v="TKT-0131"/>
    <x v="293"/>
    <d v="2025-02-03T12:29:00"/>
    <s v="Delivery"/>
    <s v="Email"/>
    <x v="0"/>
    <x v="0"/>
    <x v="6"/>
    <n v="46.4"/>
    <n v="5"/>
    <x v="5"/>
    <x v="1"/>
  </r>
  <r>
    <s v="TKT-0398"/>
    <x v="294"/>
    <d v="2025-06-30T21:24:00"/>
    <s v="Account"/>
    <s v="Chat"/>
    <x v="2"/>
    <x v="0"/>
    <x v="0"/>
    <n v="48.3"/>
    <n v="5"/>
    <x v="1"/>
    <x v="2"/>
  </r>
  <r>
    <s v="TKT-0176"/>
    <x v="295"/>
    <d v="2025-04-08T21:23:00"/>
    <s v="Delivery"/>
    <s v="Phone"/>
    <x v="2"/>
    <x v="0"/>
    <x v="7"/>
    <n v="51.4"/>
    <n v="5"/>
    <x v="5"/>
    <x v="0"/>
  </r>
  <r>
    <s v="TKT-0149"/>
    <x v="296"/>
    <d v="2025-03-31T09:29:00"/>
    <s v="Product Information"/>
    <s v="Email"/>
    <x v="2"/>
    <x v="0"/>
    <x v="7"/>
    <n v="52.1"/>
    <n v="5"/>
    <x v="2"/>
    <x v="1"/>
  </r>
  <r>
    <s v="TKT-0225"/>
    <x v="297"/>
    <d v="2025-06-19T22:42:00"/>
    <s v="Account"/>
    <s v="Chat"/>
    <x v="1"/>
    <x v="0"/>
    <x v="7"/>
    <n v="52.1"/>
    <n v="5"/>
    <x v="1"/>
    <x v="2"/>
  </r>
  <r>
    <s v="TKT-0384"/>
    <x v="298"/>
    <d v="2025-06-28T13:44:00"/>
    <s v="Account"/>
    <s v="Email"/>
    <x v="3"/>
    <x v="0"/>
    <x v="2"/>
    <n v="52.6"/>
    <n v="5"/>
    <x v="1"/>
    <x v="1"/>
  </r>
  <r>
    <s v="TKT-0356"/>
    <x v="299"/>
    <d v="2025-06-03T20:43:00"/>
    <s v="Payment"/>
    <s v="Chat"/>
    <x v="2"/>
    <x v="0"/>
    <x v="0"/>
    <n v="52.9"/>
    <n v="5"/>
    <x v="3"/>
    <x v="2"/>
  </r>
  <r>
    <s v="TKT-0146"/>
    <x v="300"/>
    <d v="2025-04-03T00:23:00"/>
    <s v="Payment"/>
    <s v="Social Media"/>
    <x v="2"/>
    <x v="0"/>
    <x v="3"/>
    <n v="55"/>
    <n v="5"/>
    <x v="3"/>
    <x v="3"/>
  </r>
  <r>
    <s v="TKT-0381"/>
    <x v="301"/>
    <d v="2025-06-03T06:52:00"/>
    <s v="Technical Issue"/>
    <s v="Email"/>
    <x v="0"/>
    <x v="0"/>
    <x v="0"/>
    <n v="55.9"/>
    <n v="5"/>
    <x v="0"/>
    <x v="1"/>
  </r>
  <r>
    <s v="TKT-0241"/>
    <x v="302"/>
    <d v="2025-02-19T09:47:00"/>
    <s v="Refund"/>
    <s v="Chat"/>
    <x v="3"/>
    <x v="0"/>
    <x v="0"/>
    <n v="57"/>
    <n v="5"/>
    <x v="4"/>
    <x v="2"/>
  </r>
  <r>
    <s v="TKT-0421"/>
    <x v="303"/>
    <d v="2025-05-15T18:03:00"/>
    <s v="Account"/>
    <s v="Phone"/>
    <x v="3"/>
    <x v="0"/>
    <x v="1"/>
    <n v="58.1"/>
    <n v="5"/>
    <x v="1"/>
    <x v="0"/>
  </r>
  <r>
    <s v="TKT-0169"/>
    <x v="304"/>
    <d v="2025-03-24T04:00:00"/>
    <s v="Delivery"/>
    <s v="Social Media"/>
    <x v="0"/>
    <x v="0"/>
    <x v="1"/>
    <n v="58.6"/>
    <n v="5"/>
    <x v="5"/>
    <x v="3"/>
  </r>
  <r>
    <s v="TKT-0175"/>
    <x v="305"/>
    <d v="2025-05-12T03:20:00"/>
    <s v="Payment"/>
    <s v="Phone"/>
    <x v="2"/>
    <x v="0"/>
    <x v="4"/>
    <n v="58.9"/>
    <n v="5"/>
    <x v="3"/>
    <x v="0"/>
  </r>
  <r>
    <s v="TKT-0394"/>
    <x v="306"/>
    <d v="2025-01-04T00:29:00"/>
    <s v="Account"/>
    <s v="Chat"/>
    <x v="2"/>
    <x v="0"/>
    <x v="1"/>
    <n v="59.4"/>
    <n v="5"/>
    <x v="1"/>
    <x v="2"/>
  </r>
  <r>
    <s v="TKT-0132"/>
    <x v="307"/>
    <d v="2025-02-05T06:01:00"/>
    <s v="Payment"/>
    <s v="Chat"/>
    <x v="3"/>
    <x v="0"/>
    <x v="2"/>
    <n v="59.8"/>
    <n v="5"/>
    <x v="3"/>
    <x v="2"/>
  </r>
  <r>
    <s v="TKT-0205"/>
    <x v="308"/>
    <d v="2025-02-06T01:26:00"/>
    <s v="Payment"/>
    <s v="Phone"/>
    <x v="3"/>
    <x v="0"/>
    <x v="7"/>
    <n v="59.9"/>
    <n v="5"/>
    <x v="3"/>
    <x v="0"/>
  </r>
  <r>
    <s v="TKT-0315"/>
    <x v="309"/>
    <d v="2025-03-17T16:53:00"/>
    <s v="Delivery"/>
    <s v="Phone"/>
    <x v="2"/>
    <x v="0"/>
    <x v="4"/>
    <n v="60.7"/>
    <n v="5"/>
    <x v="5"/>
    <x v="0"/>
  </r>
  <r>
    <s v="TKT-0070"/>
    <x v="310"/>
    <d v="2025-01-30T12:07:00"/>
    <s v="Delivery"/>
    <s v="Email"/>
    <x v="0"/>
    <x v="0"/>
    <x v="0"/>
    <n v="61.3"/>
    <n v="5"/>
    <x v="5"/>
    <x v="1"/>
  </r>
  <r>
    <s v="TKT-0155"/>
    <x v="311"/>
    <d v="2025-01-08T05:04:00"/>
    <s v="Account"/>
    <s v="Social Media"/>
    <x v="1"/>
    <x v="0"/>
    <x v="3"/>
    <n v="62.1"/>
    <n v="5"/>
    <x v="1"/>
    <x v="3"/>
  </r>
  <r>
    <s v="TKT-0443"/>
    <x v="312"/>
    <d v="2025-01-03T18:00:00"/>
    <s v="Refund"/>
    <s v="Social Media"/>
    <x v="3"/>
    <x v="0"/>
    <x v="5"/>
    <n v="65.3"/>
    <n v="5"/>
    <x v="4"/>
    <x v="3"/>
  </r>
  <r>
    <s v="TKT-0312"/>
    <x v="313"/>
    <d v="2025-05-01T13:23:00"/>
    <s v="Delivery"/>
    <s v="Chat"/>
    <x v="0"/>
    <x v="0"/>
    <x v="5"/>
    <n v="66.2"/>
    <n v="5"/>
    <x v="5"/>
    <x v="2"/>
  </r>
  <r>
    <s v="TKT-0336"/>
    <x v="314"/>
    <d v="2025-02-27T15:05:00"/>
    <s v="Refund"/>
    <s v="Social Media"/>
    <x v="3"/>
    <x v="0"/>
    <x v="5"/>
    <n v="66.3"/>
    <n v="5"/>
    <x v="4"/>
    <x v="3"/>
  </r>
  <r>
    <s v="TKT-0206"/>
    <x v="315"/>
    <d v="2025-03-27T18:26:00"/>
    <s v="Technical Issue"/>
    <s v="Email"/>
    <x v="0"/>
    <x v="0"/>
    <x v="6"/>
    <n v="68.2"/>
    <n v="5"/>
    <x v="0"/>
    <x v="1"/>
  </r>
  <r>
    <s v="TKT-0173"/>
    <x v="316"/>
    <d v="2025-04-07T19:34:00"/>
    <s v="Technical Issue"/>
    <s v="Social Media"/>
    <x v="3"/>
    <x v="0"/>
    <x v="6"/>
    <n v="69.8"/>
    <n v="5"/>
    <x v="0"/>
    <x v="3"/>
  </r>
  <r>
    <s v="TKT-0224"/>
    <x v="317"/>
    <d v="2025-01-08T09:57:00"/>
    <s v="Technical Issue"/>
    <s v="Email"/>
    <x v="1"/>
    <x v="0"/>
    <x v="3"/>
    <n v="70.599999999999994"/>
    <n v="5"/>
    <x v="0"/>
    <x v="1"/>
  </r>
  <r>
    <s v="TKT-0052"/>
    <x v="318"/>
    <d v="2025-02-09T22:56:00"/>
    <s v="Delivery"/>
    <s v="Social Media"/>
    <x v="1"/>
    <x v="0"/>
    <x v="6"/>
    <n v="70.900000000000006"/>
    <n v="5"/>
    <x v="5"/>
    <x v="3"/>
  </r>
  <r>
    <s v="TKT-0244"/>
    <x v="319"/>
    <d v="2025-03-19T20:04:00"/>
    <s v="Refund"/>
    <s v="Phone"/>
    <x v="3"/>
    <x v="1"/>
    <x v="1"/>
    <n v="1.3"/>
    <m/>
    <x v="4"/>
    <x v="0"/>
  </r>
  <r>
    <s v="TKT-0416"/>
    <x v="320"/>
    <d v="2025-03-10T22:20:00"/>
    <s v="Refund"/>
    <s v="Email"/>
    <x v="1"/>
    <x v="1"/>
    <x v="7"/>
    <n v="1.9"/>
    <m/>
    <x v="4"/>
    <x v="1"/>
  </r>
  <r>
    <s v="TKT-0265"/>
    <x v="321"/>
    <d v="2025-04-08T00:56:00"/>
    <s v="Delivery"/>
    <s v="Chat"/>
    <x v="3"/>
    <x v="1"/>
    <x v="4"/>
    <n v="3.3"/>
    <m/>
    <x v="5"/>
    <x v="2"/>
  </r>
  <r>
    <s v="TKT-0221"/>
    <x v="322"/>
    <d v="2025-06-04T19:49:00"/>
    <s v="Delivery"/>
    <s v="Chat"/>
    <x v="0"/>
    <x v="1"/>
    <x v="4"/>
    <n v="3.4"/>
    <m/>
    <x v="5"/>
    <x v="2"/>
  </r>
  <r>
    <s v="TKT-0364"/>
    <x v="323"/>
    <d v="2025-06-25T13:16:00"/>
    <s v="Technical Issue"/>
    <s v="Chat"/>
    <x v="2"/>
    <x v="1"/>
    <x v="6"/>
    <n v="3.4"/>
    <m/>
    <x v="0"/>
    <x v="2"/>
  </r>
  <r>
    <s v="TKT-0486"/>
    <x v="324"/>
    <d v="2025-05-17T05:41:00"/>
    <s v="Refund"/>
    <s v="Email"/>
    <x v="2"/>
    <x v="1"/>
    <x v="2"/>
    <n v="5"/>
    <m/>
    <x v="4"/>
    <x v="1"/>
  </r>
  <r>
    <s v="TKT-0348"/>
    <x v="325"/>
    <d v="2025-03-27T18:23:00"/>
    <s v="Refund"/>
    <s v="Email"/>
    <x v="1"/>
    <x v="1"/>
    <x v="4"/>
    <n v="5.0999999999999996"/>
    <m/>
    <x v="4"/>
    <x v="1"/>
  </r>
  <r>
    <s v="TKT-0058"/>
    <x v="326"/>
    <d v="2025-03-27T17:15:00"/>
    <s v="Payment"/>
    <s v="Chat"/>
    <x v="1"/>
    <x v="1"/>
    <x v="7"/>
    <n v="6.3"/>
    <m/>
    <x v="3"/>
    <x v="2"/>
  </r>
  <r>
    <s v="TKT-0025"/>
    <x v="327"/>
    <d v="2025-01-20T22:21:00"/>
    <s v="Refund"/>
    <s v="Email"/>
    <x v="2"/>
    <x v="1"/>
    <x v="6"/>
    <n v="7.5"/>
    <m/>
    <x v="4"/>
    <x v="1"/>
  </r>
  <r>
    <s v="TKT-0385"/>
    <x v="328"/>
    <d v="2025-06-06T15:34:00"/>
    <s v="Account"/>
    <s v="Chat"/>
    <x v="0"/>
    <x v="1"/>
    <x v="5"/>
    <n v="7.9"/>
    <m/>
    <x v="1"/>
    <x v="2"/>
  </r>
  <r>
    <s v="TKT-0239"/>
    <x v="329"/>
    <d v="2025-01-03T17:48:00"/>
    <s v="Technical Issue"/>
    <s v="Phone"/>
    <x v="1"/>
    <x v="1"/>
    <x v="4"/>
    <n v="8.1999999999999993"/>
    <m/>
    <x v="0"/>
    <x v="0"/>
  </r>
  <r>
    <s v="TKT-0136"/>
    <x v="330"/>
    <d v="2025-04-25T19:50:00"/>
    <s v="Product Information"/>
    <s v="Chat"/>
    <x v="2"/>
    <x v="1"/>
    <x v="3"/>
    <n v="8.3000000000000007"/>
    <m/>
    <x v="2"/>
    <x v="2"/>
  </r>
  <r>
    <s v="TKT-0462"/>
    <x v="331"/>
    <d v="2025-01-13T06:11:00"/>
    <s v="Account"/>
    <s v="Social Media"/>
    <x v="3"/>
    <x v="1"/>
    <x v="4"/>
    <n v="9.3000000000000007"/>
    <m/>
    <x v="1"/>
    <x v="3"/>
  </r>
  <r>
    <s v="TKT-0005"/>
    <x v="332"/>
    <d v="2025-01-13T08:53:00"/>
    <s v="Account"/>
    <s v="Email"/>
    <x v="0"/>
    <x v="1"/>
    <x v="2"/>
    <n v="9.4"/>
    <m/>
    <x v="1"/>
    <x v="1"/>
  </r>
  <r>
    <s v="TKT-0021"/>
    <x v="333"/>
    <d v="2025-06-22T01:13:00"/>
    <s v="Product Information"/>
    <s v="Social Media"/>
    <x v="3"/>
    <x v="1"/>
    <x v="4"/>
    <n v="10"/>
    <m/>
    <x v="2"/>
    <x v="3"/>
  </r>
  <r>
    <s v="TKT-0254"/>
    <x v="334"/>
    <d v="2025-04-07T12:43:00"/>
    <s v="Technical Issue"/>
    <s v="Email"/>
    <x v="3"/>
    <x v="1"/>
    <x v="0"/>
    <n v="10"/>
    <m/>
    <x v="0"/>
    <x v="1"/>
  </r>
  <r>
    <s v="TKT-0295"/>
    <x v="335"/>
    <d v="2025-03-28T00:04:00"/>
    <s v="Technical Issue"/>
    <s v="Chat"/>
    <x v="1"/>
    <x v="1"/>
    <x v="2"/>
    <n v="10.199999999999999"/>
    <m/>
    <x v="0"/>
    <x v="2"/>
  </r>
  <r>
    <s v="TKT-0491"/>
    <x v="336"/>
    <d v="2025-03-30T17:08:00"/>
    <s v="Payment"/>
    <s v="Chat"/>
    <x v="0"/>
    <x v="1"/>
    <x v="6"/>
    <n v="10.7"/>
    <m/>
    <x v="3"/>
    <x v="2"/>
  </r>
  <r>
    <s v="TKT-0177"/>
    <x v="337"/>
    <d v="2025-03-12T01:57:00"/>
    <s v="Account"/>
    <s v="Email"/>
    <x v="3"/>
    <x v="1"/>
    <x v="4"/>
    <n v="11"/>
    <m/>
    <x v="1"/>
    <x v="1"/>
  </r>
  <r>
    <s v="TKT-0138"/>
    <x v="338"/>
    <d v="2025-01-19T13:26:00"/>
    <s v="Payment"/>
    <s v="Phone"/>
    <x v="0"/>
    <x v="1"/>
    <x v="0"/>
    <n v="11.1"/>
    <m/>
    <x v="3"/>
    <x v="0"/>
  </r>
  <r>
    <s v="TKT-0164"/>
    <x v="339"/>
    <d v="2025-03-25T06:48:00"/>
    <s v="Delivery"/>
    <s v="Social Media"/>
    <x v="2"/>
    <x v="1"/>
    <x v="2"/>
    <n v="11.3"/>
    <m/>
    <x v="5"/>
    <x v="3"/>
  </r>
  <r>
    <s v="TKT-0029"/>
    <x v="340"/>
    <d v="2025-05-31T03:20:00"/>
    <s v="Product Information"/>
    <s v="Email"/>
    <x v="3"/>
    <x v="1"/>
    <x v="5"/>
    <n v="11.8"/>
    <m/>
    <x v="2"/>
    <x v="1"/>
  </r>
  <r>
    <s v="TKT-0339"/>
    <x v="341"/>
    <d v="2025-02-23T06:38:00"/>
    <s v="Account"/>
    <s v="Phone"/>
    <x v="2"/>
    <x v="1"/>
    <x v="6"/>
    <n v="14"/>
    <m/>
    <x v="1"/>
    <x v="0"/>
  </r>
  <r>
    <s v="TKT-0498"/>
    <x v="342"/>
    <d v="2025-03-13T19:27:00"/>
    <s v="Refund"/>
    <s v="Email"/>
    <x v="2"/>
    <x v="1"/>
    <x v="1"/>
    <n v="14.5"/>
    <m/>
    <x v="4"/>
    <x v="1"/>
  </r>
  <r>
    <s v="TKT-0441"/>
    <x v="343"/>
    <d v="2025-01-29T06:00:00"/>
    <s v="Technical Issue"/>
    <s v="Chat"/>
    <x v="0"/>
    <x v="1"/>
    <x v="0"/>
    <n v="14.8"/>
    <m/>
    <x v="0"/>
    <x v="2"/>
  </r>
  <r>
    <s v="TKT-0228"/>
    <x v="344"/>
    <d v="2025-01-17T13:26:00"/>
    <s v="Technical Issue"/>
    <s v="Social Media"/>
    <x v="1"/>
    <x v="1"/>
    <x v="2"/>
    <n v="15.3"/>
    <m/>
    <x v="0"/>
    <x v="3"/>
  </r>
  <r>
    <s v="TKT-0145"/>
    <x v="345"/>
    <d v="2025-04-01T19:18:00"/>
    <s v="Refund"/>
    <s v="Social Media"/>
    <x v="3"/>
    <x v="1"/>
    <x v="5"/>
    <n v="15.7"/>
    <m/>
    <x v="4"/>
    <x v="3"/>
  </r>
  <r>
    <s v="TKT-0476"/>
    <x v="346"/>
    <d v="2025-01-20T14:32:00"/>
    <s v="Payment"/>
    <s v="Email"/>
    <x v="3"/>
    <x v="1"/>
    <x v="0"/>
    <n v="16.2"/>
    <m/>
    <x v="3"/>
    <x v="1"/>
  </r>
  <r>
    <s v="TKT-0371"/>
    <x v="347"/>
    <d v="2025-01-10T13:45:00"/>
    <s v="Technical Issue"/>
    <s v="Social Media"/>
    <x v="1"/>
    <x v="1"/>
    <x v="4"/>
    <n v="18.100000000000001"/>
    <m/>
    <x v="0"/>
    <x v="3"/>
  </r>
  <r>
    <s v="TKT-0209"/>
    <x v="348"/>
    <d v="2025-01-13T16:13:00"/>
    <s v="Payment"/>
    <s v="Social Media"/>
    <x v="2"/>
    <x v="1"/>
    <x v="4"/>
    <n v="19.399999999999999"/>
    <m/>
    <x v="3"/>
    <x v="3"/>
  </r>
  <r>
    <s v="TKT-0104"/>
    <x v="349"/>
    <d v="2025-04-18T06:35:00"/>
    <s v="Delivery"/>
    <s v="Phone"/>
    <x v="0"/>
    <x v="1"/>
    <x v="4"/>
    <n v="19.600000000000001"/>
    <m/>
    <x v="5"/>
    <x v="0"/>
  </r>
  <r>
    <s v="TKT-0233"/>
    <x v="350"/>
    <d v="2025-02-25T02:46:00"/>
    <s v="Product Information"/>
    <s v="Phone"/>
    <x v="3"/>
    <x v="1"/>
    <x v="5"/>
    <n v="19.899999999999999"/>
    <m/>
    <x v="2"/>
    <x v="0"/>
  </r>
  <r>
    <s v="TKT-0433"/>
    <x v="351"/>
    <d v="2025-01-28T10:56:00"/>
    <s v="Delivery"/>
    <s v="Email"/>
    <x v="0"/>
    <x v="1"/>
    <x v="3"/>
    <n v="22.4"/>
    <m/>
    <x v="5"/>
    <x v="1"/>
  </r>
  <r>
    <s v="TKT-0031"/>
    <x v="352"/>
    <d v="2025-06-19T17:42:00"/>
    <s v="Technical Issue"/>
    <s v="Chat"/>
    <x v="0"/>
    <x v="1"/>
    <x v="6"/>
    <n v="23.1"/>
    <m/>
    <x v="0"/>
    <x v="2"/>
  </r>
  <r>
    <s v="TKT-0283"/>
    <x v="353"/>
    <d v="2025-05-27T12:55:00"/>
    <s v="Refund"/>
    <s v="Chat"/>
    <x v="2"/>
    <x v="1"/>
    <x v="2"/>
    <n v="24.2"/>
    <m/>
    <x v="4"/>
    <x v="2"/>
  </r>
  <r>
    <s v="TKT-0051"/>
    <x v="354"/>
    <d v="2025-05-13T22:10:00"/>
    <s v="Payment"/>
    <s v="Phone"/>
    <x v="3"/>
    <x v="1"/>
    <x v="6"/>
    <n v="24.5"/>
    <m/>
    <x v="3"/>
    <x v="0"/>
  </r>
  <r>
    <s v="TKT-0208"/>
    <x v="355"/>
    <d v="2025-02-14T22:15:00"/>
    <s v="Product Information"/>
    <s v="Email"/>
    <x v="2"/>
    <x v="1"/>
    <x v="5"/>
    <n v="24.6"/>
    <m/>
    <x v="2"/>
    <x v="1"/>
  </r>
  <r>
    <s v="TKT-0187"/>
    <x v="356"/>
    <d v="2025-02-05T02:04:00"/>
    <s v="Refund"/>
    <s v="Chat"/>
    <x v="1"/>
    <x v="1"/>
    <x v="4"/>
    <n v="24.7"/>
    <m/>
    <x v="4"/>
    <x v="2"/>
  </r>
  <r>
    <s v="TKT-0229"/>
    <x v="357"/>
    <d v="2025-02-15T15:58:00"/>
    <s v="Technical Issue"/>
    <s v="Phone"/>
    <x v="1"/>
    <x v="1"/>
    <x v="6"/>
    <n v="25"/>
    <m/>
    <x v="0"/>
    <x v="0"/>
  </r>
  <r>
    <s v="TKT-0157"/>
    <x v="358"/>
    <d v="2025-01-29T12:33:00"/>
    <s v="Delivery"/>
    <s v="Social Media"/>
    <x v="0"/>
    <x v="1"/>
    <x v="2"/>
    <n v="29.1"/>
    <m/>
    <x v="5"/>
    <x v="3"/>
  </r>
  <r>
    <s v="TKT-0411"/>
    <x v="359"/>
    <d v="2025-01-18T15:03:00"/>
    <m/>
    <s v="Email"/>
    <x v="3"/>
    <x v="1"/>
    <x v="6"/>
    <n v="29.3"/>
    <m/>
    <x v="6"/>
    <x v="1"/>
  </r>
  <r>
    <s v="TKT-0101"/>
    <x v="360"/>
    <d v="2025-03-22T22:42:00"/>
    <s v="Payment"/>
    <s v="Email"/>
    <x v="1"/>
    <x v="1"/>
    <x v="5"/>
    <n v="29.7"/>
    <m/>
    <x v="3"/>
    <x v="1"/>
  </r>
  <r>
    <s v="TKT-0214"/>
    <x v="361"/>
    <d v="2025-03-17T19:19:00"/>
    <s v="Payment"/>
    <s v="Phone"/>
    <x v="0"/>
    <x v="1"/>
    <x v="6"/>
    <n v="30.4"/>
    <m/>
    <x v="3"/>
    <x v="0"/>
  </r>
  <r>
    <s v="TKT-0128"/>
    <x v="362"/>
    <d v="2025-06-23T06:14:00"/>
    <s v="Refund"/>
    <s v="Chat"/>
    <x v="1"/>
    <x v="1"/>
    <x v="5"/>
    <n v="30.5"/>
    <m/>
    <x v="4"/>
    <x v="2"/>
  </r>
  <r>
    <s v="TKT-0341"/>
    <x v="363"/>
    <d v="2025-02-04T19:31:00"/>
    <s v="Product Information"/>
    <s v="Chat"/>
    <x v="1"/>
    <x v="1"/>
    <x v="5"/>
    <n v="30.6"/>
    <m/>
    <x v="2"/>
    <x v="2"/>
  </r>
  <r>
    <s v="TKT-0249"/>
    <x v="364"/>
    <d v="2025-02-13T19:00:00"/>
    <s v="Refund"/>
    <s v="Chat"/>
    <x v="1"/>
    <x v="1"/>
    <x v="5"/>
    <n v="32.1"/>
    <m/>
    <x v="4"/>
    <x v="2"/>
  </r>
  <r>
    <s v="TKT-0455"/>
    <x v="365"/>
    <d v="2025-01-22T22:58:00"/>
    <s v="Account"/>
    <s v="Social Media"/>
    <x v="0"/>
    <x v="1"/>
    <x v="5"/>
    <n v="32.5"/>
    <m/>
    <x v="1"/>
    <x v="3"/>
  </r>
  <r>
    <s v="TKT-0054"/>
    <x v="366"/>
    <d v="2025-04-20T16:53:00"/>
    <s v="Product Information"/>
    <s v="Chat"/>
    <x v="2"/>
    <x v="1"/>
    <x v="4"/>
    <n v="33.700000000000003"/>
    <m/>
    <x v="2"/>
    <x v="2"/>
  </r>
  <r>
    <s v="TKT-0050"/>
    <x v="367"/>
    <d v="2025-04-26T07:31:00"/>
    <s v="Refund"/>
    <s v="Chat"/>
    <x v="2"/>
    <x v="1"/>
    <x v="3"/>
    <n v="34.299999999999997"/>
    <m/>
    <x v="4"/>
    <x v="2"/>
  </r>
  <r>
    <s v="TKT-0281"/>
    <x v="368"/>
    <d v="2025-03-01T17:27:00"/>
    <s v="Delivery"/>
    <s v="Email"/>
    <x v="0"/>
    <x v="1"/>
    <x v="1"/>
    <n v="34.5"/>
    <m/>
    <x v="5"/>
    <x v="1"/>
  </r>
  <r>
    <s v="TKT-0011"/>
    <x v="369"/>
    <d v="2025-04-04T18:56:00"/>
    <s v="Delivery"/>
    <s v="Email"/>
    <x v="3"/>
    <x v="1"/>
    <x v="7"/>
    <n v="35.799999999999997"/>
    <m/>
    <x v="5"/>
    <x v="1"/>
  </r>
  <r>
    <s v="TKT-0442"/>
    <x v="370"/>
    <d v="2025-03-18T17:02:00"/>
    <s v="Payment"/>
    <s v="Social Media"/>
    <x v="0"/>
    <x v="1"/>
    <x v="6"/>
    <n v="36"/>
    <m/>
    <x v="3"/>
    <x v="3"/>
  </r>
  <r>
    <s v="TKT-0436"/>
    <x v="371"/>
    <d v="2025-02-26T11:37:00"/>
    <s v="Delivery"/>
    <s v="Phone"/>
    <x v="2"/>
    <x v="1"/>
    <x v="0"/>
    <n v="36.6"/>
    <m/>
    <x v="5"/>
    <x v="0"/>
  </r>
  <r>
    <s v="TKT-0163"/>
    <x v="372"/>
    <d v="2025-06-16T15:27:00"/>
    <s v="Account"/>
    <s v="Email"/>
    <x v="1"/>
    <x v="1"/>
    <x v="6"/>
    <n v="36.799999999999997"/>
    <m/>
    <x v="1"/>
    <x v="1"/>
  </r>
  <r>
    <s v="TKT-0403"/>
    <x v="373"/>
    <d v="2025-01-06T12:33:00"/>
    <s v="Account"/>
    <s v="Email"/>
    <x v="1"/>
    <x v="1"/>
    <x v="7"/>
    <n v="37.9"/>
    <m/>
    <x v="1"/>
    <x v="1"/>
  </r>
  <r>
    <s v="TKT-0434"/>
    <x v="374"/>
    <d v="2025-04-29T13:33:00"/>
    <s v="Account"/>
    <s v="Chat"/>
    <x v="0"/>
    <x v="1"/>
    <x v="4"/>
    <n v="38"/>
    <m/>
    <x v="1"/>
    <x v="2"/>
  </r>
  <r>
    <s v="TKT-0478"/>
    <x v="375"/>
    <d v="2025-03-18T21:12:00"/>
    <s v="Product Information"/>
    <s v="Email"/>
    <x v="2"/>
    <x v="1"/>
    <x v="2"/>
    <n v="38.4"/>
    <m/>
    <x v="2"/>
    <x v="1"/>
  </r>
  <r>
    <s v="TKT-0093"/>
    <x v="376"/>
    <d v="2025-07-01T03:23:00"/>
    <s v="Account"/>
    <s v="Email"/>
    <x v="2"/>
    <x v="1"/>
    <x v="0"/>
    <n v="39.1"/>
    <m/>
    <x v="1"/>
    <x v="1"/>
  </r>
  <r>
    <s v="TKT-0185"/>
    <x v="377"/>
    <d v="2025-05-17T09:38:00"/>
    <s v="Account"/>
    <s v="Social Media"/>
    <x v="2"/>
    <x v="1"/>
    <x v="0"/>
    <n v="40.1"/>
    <m/>
    <x v="1"/>
    <x v="3"/>
  </r>
  <r>
    <s v="TKT-0183"/>
    <x v="378"/>
    <d v="2025-06-04T10:37:00"/>
    <s v="Refund"/>
    <s v="Chat"/>
    <x v="0"/>
    <x v="1"/>
    <x v="0"/>
    <n v="41.6"/>
    <m/>
    <x v="4"/>
    <x v="2"/>
  </r>
  <r>
    <s v="TKT-0270"/>
    <x v="379"/>
    <d v="2025-03-10T11:53:00"/>
    <s v="Account"/>
    <s v="Phone"/>
    <x v="3"/>
    <x v="1"/>
    <x v="6"/>
    <n v="41.9"/>
    <m/>
    <x v="1"/>
    <x v="0"/>
  </r>
  <r>
    <s v="TKT-0499"/>
    <x v="380"/>
    <d v="2025-05-12T13:55:00"/>
    <s v="Product Information"/>
    <s v="Chat"/>
    <x v="2"/>
    <x v="1"/>
    <x v="3"/>
    <n v="41.9"/>
    <m/>
    <x v="2"/>
    <x v="2"/>
  </r>
  <r>
    <s v="TKT-0458"/>
    <x v="381"/>
    <d v="2025-04-29T05:59:00"/>
    <s v="Refund"/>
    <s v="Phone"/>
    <x v="1"/>
    <x v="1"/>
    <x v="5"/>
    <n v="43.4"/>
    <m/>
    <x v="4"/>
    <x v="0"/>
  </r>
  <r>
    <s v="TKT-0464"/>
    <x v="382"/>
    <d v="2025-02-03T23:12:00"/>
    <s v="Technical Issue"/>
    <s v="Social Media"/>
    <x v="1"/>
    <x v="1"/>
    <x v="6"/>
    <n v="43.8"/>
    <m/>
    <x v="0"/>
    <x v="3"/>
  </r>
  <r>
    <s v="TKT-0437"/>
    <x v="383"/>
    <d v="2025-06-15T05:55:00"/>
    <s v="Product Information"/>
    <s v="Email"/>
    <x v="2"/>
    <x v="1"/>
    <x v="1"/>
    <n v="45.1"/>
    <m/>
    <x v="2"/>
    <x v="1"/>
  </r>
  <r>
    <s v="TKT-0071"/>
    <x v="384"/>
    <d v="2025-06-21T09:52:00"/>
    <s v="Delivery"/>
    <s v="Social Media"/>
    <x v="1"/>
    <x v="1"/>
    <x v="5"/>
    <n v="46.8"/>
    <m/>
    <x v="5"/>
    <x v="3"/>
  </r>
  <r>
    <s v="TKT-0286"/>
    <x v="385"/>
    <d v="2025-04-23T05:25:00"/>
    <s v="Delivery"/>
    <s v="Phone"/>
    <x v="3"/>
    <x v="1"/>
    <x v="5"/>
    <n v="47.7"/>
    <m/>
    <x v="5"/>
    <x v="0"/>
  </r>
  <r>
    <s v="TKT-0350"/>
    <x v="386"/>
    <d v="2025-03-09T04:39:00"/>
    <s v="Delivery"/>
    <s v="Chat"/>
    <x v="2"/>
    <x v="1"/>
    <x v="1"/>
    <n v="48.7"/>
    <m/>
    <x v="5"/>
    <x v="2"/>
  </r>
  <r>
    <s v="TKT-0303"/>
    <x v="387"/>
    <d v="2025-04-13T16:43:00"/>
    <s v="Payment"/>
    <s v="Phone"/>
    <x v="2"/>
    <x v="1"/>
    <x v="4"/>
    <n v="49.9"/>
    <m/>
    <x v="3"/>
    <x v="0"/>
  </r>
  <r>
    <s v="TKT-0034"/>
    <x v="388"/>
    <d v="2025-02-12T17:41:00"/>
    <s v="Product Information"/>
    <s v="Email"/>
    <x v="0"/>
    <x v="1"/>
    <x v="5"/>
    <n v="50.8"/>
    <m/>
    <x v="2"/>
    <x v="1"/>
  </r>
  <r>
    <s v="TKT-0140"/>
    <x v="389"/>
    <d v="2025-06-20T00:56:00"/>
    <s v="Payment"/>
    <s v="Social Media"/>
    <x v="1"/>
    <x v="1"/>
    <x v="6"/>
    <n v="52"/>
    <m/>
    <x v="3"/>
    <x v="3"/>
  </r>
  <r>
    <s v="TKT-0480"/>
    <x v="390"/>
    <d v="2025-02-01T16:34:00"/>
    <s v="Delivery"/>
    <s v="Phone"/>
    <x v="1"/>
    <x v="1"/>
    <x v="4"/>
    <n v="52.3"/>
    <m/>
    <x v="5"/>
    <x v="0"/>
  </r>
  <r>
    <s v="TKT-0404"/>
    <x v="391"/>
    <d v="2025-02-10T01:19:00"/>
    <s v="Delivery"/>
    <s v="Email"/>
    <x v="2"/>
    <x v="1"/>
    <x v="3"/>
    <n v="54.7"/>
    <m/>
    <x v="5"/>
    <x v="1"/>
  </r>
  <r>
    <s v="TKT-0160"/>
    <x v="392"/>
    <d v="2025-06-12T22:17:00"/>
    <s v="Account"/>
    <s v="Phone"/>
    <x v="0"/>
    <x v="1"/>
    <x v="7"/>
    <n v="54.8"/>
    <m/>
    <x v="1"/>
    <x v="0"/>
  </r>
  <r>
    <s v="TKT-0415"/>
    <x v="393"/>
    <d v="2025-04-11T09:28:00"/>
    <s v="Payment"/>
    <s v="Chat"/>
    <x v="3"/>
    <x v="1"/>
    <x v="6"/>
    <n v="56.3"/>
    <m/>
    <x v="3"/>
    <x v="2"/>
  </r>
  <r>
    <s v="TKT-0383"/>
    <x v="394"/>
    <d v="2025-02-17T07:23:00"/>
    <s v="Payment"/>
    <s v="Chat"/>
    <x v="1"/>
    <x v="1"/>
    <x v="3"/>
    <n v="56.8"/>
    <m/>
    <x v="3"/>
    <x v="2"/>
  </r>
  <r>
    <s v="TKT-0086"/>
    <x v="395"/>
    <d v="2025-05-25T22:38:00"/>
    <s v="Payment"/>
    <s v="Social Media"/>
    <x v="1"/>
    <x v="1"/>
    <x v="4"/>
    <n v="57"/>
    <m/>
    <x v="3"/>
    <x v="3"/>
  </r>
  <r>
    <s v="TKT-0073"/>
    <x v="396"/>
    <d v="2025-05-17T06:35:00"/>
    <s v="Product Information"/>
    <s v="Social Media"/>
    <x v="1"/>
    <x v="1"/>
    <x v="0"/>
    <n v="58.3"/>
    <m/>
    <x v="2"/>
    <x v="3"/>
  </r>
  <r>
    <s v="TKT-0319"/>
    <x v="397"/>
    <d v="2025-05-29T14:41:00"/>
    <s v="Technical Issue"/>
    <s v="Email"/>
    <x v="1"/>
    <x v="1"/>
    <x v="6"/>
    <n v="59.4"/>
    <m/>
    <x v="0"/>
    <x v="1"/>
  </r>
  <r>
    <s v="TKT-0271"/>
    <x v="398"/>
    <d v="2025-03-28T19:30:00"/>
    <s v="Account"/>
    <s v="Phone"/>
    <x v="0"/>
    <x v="1"/>
    <x v="4"/>
    <n v="60.1"/>
    <m/>
    <x v="1"/>
    <x v="0"/>
  </r>
  <r>
    <s v="TKT-0492"/>
    <x v="399"/>
    <d v="2025-02-01T19:06:00"/>
    <s v="Product Information"/>
    <s v="Social Media"/>
    <x v="2"/>
    <x v="1"/>
    <x v="3"/>
    <n v="61.4"/>
    <m/>
    <x v="2"/>
    <x v="3"/>
  </r>
  <r>
    <s v="TKT-0470"/>
    <x v="400"/>
    <d v="2025-04-05T04:42:00"/>
    <s v="Refund"/>
    <s v="Chat"/>
    <x v="1"/>
    <x v="1"/>
    <x v="6"/>
    <n v="62.6"/>
    <m/>
    <x v="4"/>
    <x v="2"/>
  </r>
  <r>
    <s v="TKT-0260"/>
    <x v="401"/>
    <d v="2025-03-14T16:59:00"/>
    <s v="Payment"/>
    <s v="Social Media"/>
    <x v="1"/>
    <x v="1"/>
    <x v="1"/>
    <n v="63.4"/>
    <m/>
    <x v="3"/>
    <x v="3"/>
  </r>
  <r>
    <s v="TKT-0217"/>
    <x v="402"/>
    <d v="2025-01-16T01:07:00"/>
    <s v="Refund"/>
    <s v="Social Media"/>
    <x v="0"/>
    <x v="1"/>
    <x v="1"/>
    <n v="63.6"/>
    <m/>
    <x v="4"/>
    <x v="3"/>
  </r>
  <r>
    <s v="TKT-0222"/>
    <x v="403"/>
    <d v="2025-05-16T06:33:00"/>
    <s v="Payment"/>
    <s v="Phone"/>
    <x v="0"/>
    <x v="1"/>
    <x v="7"/>
    <n v="64.400000000000006"/>
    <m/>
    <x v="3"/>
    <x v="0"/>
  </r>
  <r>
    <s v="TKT-0291"/>
    <x v="404"/>
    <d v="2025-04-12T19:58:00"/>
    <s v="Payment"/>
    <s v="Chat"/>
    <x v="1"/>
    <x v="1"/>
    <x v="7"/>
    <n v="65.2"/>
    <m/>
    <x v="3"/>
    <x v="2"/>
  </r>
  <r>
    <s v="TKT-0275"/>
    <x v="405"/>
    <d v="2025-01-19T13:28:00"/>
    <s v="Refund"/>
    <s v="Social Media"/>
    <x v="2"/>
    <x v="1"/>
    <x v="1"/>
    <n v="65.8"/>
    <m/>
    <x v="4"/>
    <x v="3"/>
  </r>
  <r>
    <s v="TKT-0479"/>
    <x v="406"/>
    <d v="2025-04-28T02:09:00"/>
    <s v="Payment"/>
    <s v="Email"/>
    <x v="0"/>
    <x v="1"/>
    <x v="0"/>
    <n v="66.2"/>
    <m/>
    <x v="3"/>
    <x v="1"/>
  </r>
  <r>
    <s v="TKT-0092"/>
    <x v="407"/>
    <d v="2025-03-23T14:11:00"/>
    <s v="Account"/>
    <s v="Email"/>
    <x v="1"/>
    <x v="1"/>
    <x v="3"/>
    <n v="66.400000000000006"/>
    <m/>
    <x v="1"/>
    <x v="1"/>
  </r>
  <r>
    <s v="TKT-0060"/>
    <x v="408"/>
    <d v="2025-02-25T09:30:00"/>
    <s v="Delivery"/>
    <s v="Social Media"/>
    <x v="1"/>
    <x v="1"/>
    <x v="1"/>
    <n v="68.099999999999994"/>
    <m/>
    <x v="5"/>
    <x v="3"/>
  </r>
  <r>
    <s v="TKT-0226"/>
    <x v="409"/>
    <d v="2025-06-27T03:20:00"/>
    <s v="Delivery"/>
    <s v="Chat"/>
    <x v="2"/>
    <x v="1"/>
    <x v="4"/>
    <n v="68.3"/>
    <m/>
    <x v="5"/>
    <x v="2"/>
  </r>
  <r>
    <s v="TKT-0068"/>
    <x v="410"/>
    <d v="2025-04-08T03:02:00"/>
    <s v="Refund"/>
    <s v="Email"/>
    <x v="3"/>
    <x v="1"/>
    <x v="3"/>
    <n v="69.400000000000006"/>
    <m/>
    <x v="4"/>
    <x v="1"/>
  </r>
  <r>
    <s v="TKT-0081"/>
    <x v="411"/>
    <d v="2025-05-07T07:04:00"/>
    <s v="Product Information"/>
    <s v="Phone"/>
    <x v="2"/>
    <x v="1"/>
    <x v="6"/>
    <n v="70.3"/>
    <m/>
    <x v="2"/>
    <x v="0"/>
  </r>
  <r>
    <s v="TKT-0055"/>
    <x v="412"/>
    <d v="2025-02-07T13:48:00"/>
    <s v="Product Information"/>
    <s v="Phone"/>
    <x v="1"/>
    <x v="1"/>
    <x v="0"/>
    <n v="71.099999999999994"/>
    <m/>
    <x v="2"/>
    <x v="0"/>
  </r>
  <r>
    <s v="TKT-0273"/>
    <x v="413"/>
    <d v="2025-05-23T14:29:00"/>
    <s v="Delivery"/>
    <s v="Email"/>
    <x v="2"/>
    <x v="1"/>
    <x v="1"/>
    <n v="71.3"/>
    <m/>
    <x v="5"/>
    <x v="1"/>
  </r>
  <r>
    <s v="TKT-0375"/>
    <x v="414"/>
    <d v="2025-05-19T11:49:00"/>
    <s v="Payment"/>
    <s v="Email"/>
    <x v="3"/>
    <x v="1"/>
    <x v="6"/>
    <n v="72"/>
    <m/>
    <x v="3"/>
    <x v="1"/>
  </r>
  <r>
    <s v="TKT-0024"/>
    <x v="415"/>
    <m/>
    <s v="Payment"/>
    <s v="Phone"/>
    <x v="1"/>
    <x v="2"/>
    <x v="6"/>
    <m/>
    <m/>
    <x v="3"/>
    <x v="0"/>
  </r>
  <r>
    <s v="TKT-0026"/>
    <x v="416"/>
    <m/>
    <s v="Payment"/>
    <s v="Social Media"/>
    <x v="2"/>
    <x v="2"/>
    <x v="7"/>
    <m/>
    <m/>
    <x v="3"/>
    <x v="3"/>
  </r>
  <r>
    <s v="TKT-0053"/>
    <x v="417"/>
    <m/>
    <s v="Payment"/>
    <s v="Chat"/>
    <x v="2"/>
    <x v="2"/>
    <x v="5"/>
    <m/>
    <m/>
    <x v="3"/>
    <x v="2"/>
  </r>
  <r>
    <s v="TKT-0059"/>
    <x v="418"/>
    <m/>
    <s v="Technical Issue"/>
    <s v="Social Media"/>
    <x v="1"/>
    <x v="2"/>
    <x v="1"/>
    <m/>
    <m/>
    <x v="0"/>
    <x v="3"/>
  </r>
  <r>
    <s v="TKT-0061"/>
    <x v="419"/>
    <m/>
    <s v="Account"/>
    <s v="Chat"/>
    <x v="1"/>
    <x v="2"/>
    <x v="6"/>
    <m/>
    <m/>
    <x v="1"/>
    <x v="2"/>
  </r>
  <r>
    <s v="TKT-0063"/>
    <x v="420"/>
    <m/>
    <s v="Product Information"/>
    <s v="Email"/>
    <x v="2"/>
    <x v="2"/>
    <x v="0"/>
    <m/>
    <m/>
    <x v="2"/>
    <x v="1"/>
  </r>
  <r>
    <s v="TKT-0065"/>
    <x v="421"/>
    <m/>
    <s v="Technical Issue"/>
    <s v="Email"/>
    <x v="1"/>
    <x v="2"/>
    <x v="1"/>
    <m/>
    <m/>
    <x v="0"/>
    <x v="1"/>
  </r>
  <r>
    <s v="TKT-0072"/>
    <x v="422"/>
    <m/>
    <s v="Refund"/>
    <s v="Chat"/>
    <x v="1"/>
    <x v="2"/>
    <x v="7"/>
    <m/>
    <m/>
    <x v="4"/>
    <x v="2"/>
  </r>
  <r>
    <s v="TKT-0075"/>
    <x v="423"/>
    <m/>
    <s v="Technical Issue"/>
    <s v="Email"/>
    <x v="1"/>
    <x v="2"/>
    <x v="2"/>
    <m/>
    <m/>
    <x v="0"/>
    <x v="1"/>
  </r>
  <r>
    <s v="TKT-0077"/>
    <x v="424"/>
    <m/>
    <s v="Account"/>
    <s v="Chat"/>
    <x v="1"/>
    <x v="2"/>
    <x v="4"/>
    <m/>
    <m/>
    <x v="1"/>
    <x v="2"/>
  </r>
  <r>
    <s v="TKT-0089"/>
    <x v="425"/>
    <m/>
    <s v="Technical Issue"/>
    <s v="Email"/>
    <x v="3"/>
    <x v="2"/>
    <x v="3"/>
    <m/>
    <m/>
    <x v="0"/>
    <x v="1"/>
  </r>
  <r>
    <s v="TKT-0090"/>
    <x v="426"/>
    <m/>
    <s v="Delivery"/>
    <s v="Chat"/>
    <x v="0"/>
    <x v="2"/>
    <x v="6"/>
    <m/>
    <m/>
    <x v="5"/>
    <x v="2"/>
  </r>
  <r>
    <s v="TKT-0095"/>
    <x v="427"/>
    <m/>
    <s v="Technical Issue"/>
    <s v="Chat"/>
    <x v="1"/>
    <x v="2"/>
    <x v="4"/>
    <m/>
    <m/>
    <x v="0"/>
    <x v="2"/>
  </r>
  <r>
    <s v="TKT-0096"/>
    <x v="428"/>
    <m/>
    <s v="Technical Issue"/>
    <s v="Phone"/>
    <x v="2"/>
    <x v="2"/>
    <x v="7"/>
    <m/>
    <m/>
    <x v="0"/>
    <x v="0"/>
  </r>
  <r>
    <s v="TKT-0097"/>
    <x v="429"/>
    <m/>
    <s v="Technical Issue"/>
    <s v="Social Media"/>
    <x v="2"/>
    <x v="2"/>
    <x v="4"/>
    <m/>
    <m/>
    <x v="0"/>
    <x v="3"/>
  </r>
  <r>
    <s v="TKT-0103"/>
    <x v="430"/>
    <m/>
    <s v="Payment"/>
    <s v="Chat"/>
    <x v="2"/>
    <x v="2"/>
    <x v="3"/>
    <m/>
    <m/>
    <x v="3"/>
    <x v="2"/>
  </r>
  <r>
    <s v="TKT-0105"/>
    <x v="431"/>
    <m/>
    <s v="Technical Issue"/>
    <s v="Phone"/>
    <x v="1"/>
    <x v="2"/>
    <x v="4"/>
    <m/>
    <m/>
    <x v="0"/>
    <x v="0"/>
  </r>
  <r>
    <s v="TKT-0108"/>
    <x v="432"/>
    <m/>
    <s v="Delivery"/>
    <s v="Chat"/>
    <x v="1"/>
    <x v="2"/>
    <x v="7"/>
    <m/>
    <m/>
    <x v="5"/>
    <x v="2"/>
  </r>
  <r>
    <s v="TKT-0110"/>
    <x v="433"/>
    <m/>
    <s v="Product Information"/>
    <s v="Email"/>
    <x v="2"/>
    <x v="2"/>
    <x v="6"/>
    <m/>
    <m/>
    <x v="2"/>
    <x v="1"/>
  </r>
  <r>
    <s v="TKT-0113"/>
    <x v="434"/>
    <m/>
    <s v="Product Information"/>
    <s v="Chat"/>
    <x v="3"/>
    <x v="2"/>
    <x v="7"/>
    <m/>
    <m/>
    <x v="2"/>
    <x v="2"/>
  </r>
  <r>
    <s v="TKT-0114"/>
    <x v="435"/>
    <m/>
    <s v="Product Information"/>
    <s v="Chat"/>
    <x v="1"/>
    <x v="2"/>
    <x v="7"/>
    <m/>
    <m/>
    <x v="2"/>
    <x v="2"/>
  </r>
  <r>
    <s v="TKT-0117"/>
    <x v="436"/>
    <m/>
    <s v="Delivery"/>
    <s v="Chat"/>
    <x v="1"/>
    <x v="2"/>
    <x v="2"/>
    <m/>
    <m/>
    <x v="5"/>
    <x v="2"/>
  </r>
  <r>
    <s v="TKT-0121"/>
    <x v="437"/>
    <m/>
    <s v="Payment"/>
    <s v="Chat"/>
    <x v="3"/>
    <x v="2"/>
    <x v="2"/>
    <m/>
    <m/>
    <x v="3"/>
    <x v="2"/>
  </r>
  <r>
    <s v="TKT-0126"/>
    <x v="438"/>
    <m/>
    <s v="Delivery"/>
    <s v="Chat"/>
    <x v="2"/>
    <x v="2"/>
    <x v="1"/>
    <m/>
    <m/>
    <x v="5"/>
    <x v="2"/>
  </r>
  <r>
    <s v="TKT-0135"/>
    <x v="439"/>
    <m/>
    <s v="Product Information"/>
    <s v="Email"/>
    <x v="2"/>
    <x v="2"/>
    <x v="4"/>
    <m/>
    <m/>
    <x v="2"/>
    <x v="1"/>
  </r>
  <r>
    <s v="TKT-0139"/>
    <x v="440"/>
    <m/>
    <s v="Product Information"/>
    <s v="Social Media"/>
    <x v="2"/>
    <x v="2"/>
    <x v="5"/>
    <m/>
    <m/>
    <x v="2"/>
    <x v="3"/>
  </r>
  <r>
    <s v="TKT-0141"/>
    <x v="441"/>
    <m/>
    <s v="Account"/>
    <s v="Social Media"/>
    <x v="2"/>
    <x v="2"/>
    <x v="2"/>
    <m/>
    <m/>
    <x v="1"/>
    <x v="3"/>
  </r>
  <r>
    <s v="TKT-0144"/>
    <x v="442"/>
    <m/>
    <s v="Refund"/>
    <s v="Email"/>
    <x v="0"/>
    <x v="2"/>
    <x v="3"/>
    <m/>
    <m/>
    <x v="4"/>
    <x v="1"/>
  </r>
  <r>
    <s v="TKT-0153"/>
    <x v="443"/>
    <m/>
    <s v="Refund"/>
    <s v="Social Media"/>
    <x v="3"/>
    <x v="2"/>
    <x v="7"/>
    <m/>
    <m/>
    <x v="4"/>
    <x v="3"/>
  </r>
  <r>
    <s v="TKT-0161"/>
    <x v="444"/>
    <m/>
    <s v="Refund"/>
    <s v="Phone"/>
    <x v="0"/>
    <x v="2"/>
    <x v="1"/>
    <m/>
    <m/>
    <x v="4"/>
    <x v="0"/>
  </r>
  <r>
    <s v="TKT-0167"/>
    <x v="445"/>
    <m/>
    <s v="Technical Issue"/>
    <s v="Phone"/>
    <x v="3"/>
    <x v="2"/>
    <x v="2"/>
    <m/>
    <m/>
    <x v="0"/>
    <x v="0"/>
  </r>
  <r>
    <s v="TKT-0191"/>
    <x v="446"/>
    <m/>
    <s v="Technical Issue"/>
    <s v="Chat"/>
    <x v="1"/>
    <x v="2"/>
    <x v="4"/>
    <m/>
    <m/>
    <x v="0"/>
    <x v="2"/>
  </r>
  <r>
    <s v="TKT-0200"/>
    <x v="447"/>
    <m/>
    <s v="Delivery"/>
    <s v="Phone"/>
    <x v="0"/>
    <x v="2"/>
    <x v="5"/>
    <m/>
    <m/>
    <x v="5"/>
    <x v="0"/>
  </r>
  <r>
    <s v="TKT-0202"/>
    <x v="448"/>
    <m/>
    <s v="Delivery"/>
    <s v="Phone"/>
    <x v="0"/>
    <x v="2"/>
    <x v="4"/>
    <m/>
    <m/>
    <x v="5"/>
    <x v="0"/>
  </r>
  <r>
    <s v="TKT-0211"/>
    <x v="449"/>
    <m/>
    <s v="Account"/>
    <s v="Chat"/>
    <x v="0"/>
    <x v="2"/>
    <x v="7"/>
    <m/>
    <m/>
    <x v="1"/>
    <x v="2"/>
  </r>
  <r>
    <s v="TKT-0213"/>
    <x v="450"/>
    <m/>
    <s v="Payment"/>
    <s v="Chat"/>
    <x v="2"/>
    <x v="2"/>
    <x v="1"/>
    <m/>
    <m/>
    <x v="3"/>
    <x v="2"/>
  </r>
  <r>
    <s v="TKT-0215"/>
    <x v="451"/>
    <m/>
    <s v="Account"/>
    <s v="Phone"/>
    <x v="1"/>
    <x v="2"/>
    <x v="1"/>
    <m/>
    <m/>
    <x v="1"/>
    <x v="0"/>
  </r>
  <r>
    <s v="TKT-0216"/>
    <x v="452"/>
    <m/>
    <s v="Payment"/>
    <s v="Chat"/>
    <x v="0"/>
    <x v="2"/>
    <x v="1"/>
    <m/>
    <m/>
    <x v="3"/>
    <x v="2"/>
  </r>
  <r>
    <s v="TKT-0227"/>
    <x v="453"/>
    <m/>
    <s v="Refund"/>
    <s v="Chat"/>
    <x v="1"/>
    <x v="2"/>
    <x v="4"/>
    <m/>
    <m/>
    <x v="4"/>
    <x v="2"/>
  </r>
  <r>
    <s v="TKT-0235"/>
    <x v="454"/>
    <m/>
    <s v="Delivery"/>
    <s v="Chat"/>
    <x v="2"/>
    <x v="2"/>
    <x v="7"/>
    <m/>
    <m/>
    <x v="5"/>
    <x v="2"/>
  </r>
  <r>
    <s v="TKT-0236"/>
    <x v="455"/>
    <m/>
    <s v="Account"/>
    <s v="Chat"/>
    <x v="0"/>
    <x v="2"/>
    <x v="2"/>
    <m/>
    <m/>
    <x v="1"/>
    <x v="2"/>
  </r>
  <r>
    <s v="TKT-0238"/>
    <x v="456"/>
    <m/>
    <s v="Account"/>
    <s v="Chat"/>
    <x v="0"/>
    <x v="2"/>
    <x v="1"/>
    <m/>
    <m/>
    <x v="1"/>
    <x v="2"/>
  </r>
  <r>
    <s v="TKT-0243"/>
    <x v="457"/>
    <m/>
    <s v="Payment"/>
    <s v="Social Media"/>
    <x v="0"/>
    <x v="2"/>
    <x v="2"/>
    <m/>
    <m/>
    <x v="3"/>
    <x v="3"/>
  </r>
  <r>
    <s v="TKT-0247"/>
    <x v="458"/>
    <m/>
    <s v="Product Information"/>
    <s v="Chat"/>
    <x v="3"/>
    <x v="2"/>
    <x v="5"/>
    <m/>
    <m/>
    <x v="2"/>
    <x v="2"/>
  </r>
  <r>
    <s v="TKT-0261"/>
    <x v="459"/>
    <m/>
    <s v="Product Information"/>
    <s v="Phone"/>
    <x v="1"/>
    <x v="2"/>
    <x v="0"/>
    <m/>
    <m/>
    <x v="2"/>
    <x v="0"/>
  </r>
  <r>
    <s v="TKT-0263"/>
    <x v="460"/>
    <m/>
    <s v="Account"/>
    <s v="Chat"/>
    <x v="1"/>
    <x v="2"/>
    <x v="6"/>
    <m/>
    <m/>
    <x v="1"/>
    <x v="2"/>
  </r>
  <r>
    <s v="TKT-0272"/>
    <x v="461"/>
    <m/>
    <s v="Payment"/>
    <s v="Phone"/>
    <x v="3"/>
    <x v="2"/>
    <x v="7"/>
    <m/>
    <m/>
    <x v="3"/>
    <x v="0"/>
  </r>
  <r>
    <s v="TKT-0278"/>
    <x v="462"/>
    <m/>
    <s v="Account"/>
    <s v="Chat"/>
    <x v="3"/>
    <x v="2"/>
    <x v="3"/>
    <m/>
    <m/>
    <x v="1"/>
    <x v="2"/>
  </r>
  <r>
    <s v="TKT-0280"/>
    <x v="463"/>
    <m/>
    <s v="Account"/>
    <s v="Phone"/>
    <x v="2"/>
    <x v="2"/>
    <x v="1"/>
    <m/>
    <m/>
    <x v="1"/>
    <x v="0"/>
  </r>
  <r>
    <s v="TKT-0285"/>
    <x v="464"/>
    <m/>
    <s v="Account"/>
    <s v="Chat"/>
    <x v="0"/>
    <x v="2"/>
    <x v="0"/>
    <m/>
    <m/>
    <x v="1"/>
    <x v="2"/>
  </r>
  <r>
    <s v="TKT-0287"/>
    <x v="465"/>
    <m/>
    <s v="Refund"/>
    <s v="Chat"/>
    <x v="1"/>
    <x v="2"/>
    <x v="2"/>
    <m/>
    <m/>
    <x v="4"/>
    <x v="2"/>
  </r>
  <r>
    <s v="TKT-0289"/>
    <x v="466"/>
    <m/>
    <s v="Product Information"/>
    <s v="Social Media"/>
    <x v="2"/>
    <x v="2"/>
    <x v="1"/>
    <m/>
    <m/>
    <x v="2"/>
    <x v="3"/>
  </r>
  <r>
    <s v="TKT-0300"/>
    <x v="467"/>
    <m/>
    <s v="Product Information"/>
    <s v="Email"/>
    <x v="0"/>
    <x v="2"/>
    <x v="5"/>
    <m/>
    <m/>
    <x v="2"/>
    <x v="1"/>
  </r>
  <r>
    <s v="TKT-0308"/>
    <x v="468"/>
    <m/>
    <s v="Account"/>
    <s v="Email"/>
    <x v="3"/>
    <x v="2"/>
    <x v="4"/>
    <m/>
    <m/>
    <x v="1"/>
    <x v="1"/>
  </r>
  <r>
    <s v="TKT-0310"/>
    <x v="469"/>
    <m/>
    <s v="Delivery"/>
    <s v="Phone"/>
    <x v="1"/>
    <x v="2"/>
    <x v="2"/>
    <m/>
    <m/>
    <x v="5"/>
    <x v="0"/>
  </r>
  <r>
    <s v="TKT-0311"/>
    <x v="470"/>
    <m/>
    <s v="Product Information"/>
    <s v="Email"/>
    <x v="0"/>
    <x v="2"/>
    <x v="2"/>
    <m/>
    <m/>
    <x v="2"/>
    <x v="1"/>
  </r>
  <r>
    <s v="TKT-0316"/>
    <x v="471"/>
    <m/>
    <s v="Product Information"/>
    <s v="Social Media"/>
    <x v="1"/>
    <x v="2"/>
    <x v="4"/>
    <m/>
    <m/>
    <x v="2"/>
    <x v="3"/>
  </r>
  <r>
    <s v="TKT-0317"/>
    <x v="472"/>
    <m/>
    <s v="Account"/>
    <s v="Chat"/>
    <x v="2"/>
    <x v="2"/>
    <x v="1"/>
    <m/>
    <m/>
    <x v="1"/>
    <x v="2"/>
  </r>
  <r>
    <s v="TKT-0349"/>
    <x v="473"/>
    <m/>
    <s v="Product Information"/>
    <s v="Chat"/>
    <x v="0"/>
    <x v="2"/>
    <x v="7"/>
    <m/>
    <m/>
    <x v="2"/>
    <x v="2"/>
  </r>
  <r>
    <s v="TKT-0351"/>
    <x v="474"/>
    <m/>
    <s v="Technical Issue"/>
    <s v="Social Media"/>
    <x v="3"/>
    <x v="2"/>
    <x v="7"/>
    <m/>
    <m/>
    <x v="0"/>
    <x v="3"/>
  </r>
  <r>
    <s v="TKT-0352"/>
    <x v="475"/>
    <m/>
    <s v="Payment"/>
    <s v="Phone"/>
    <x v="3"/>
    <x v="2"/>
    <x v="0"/>
    <m/>
    <m/>
    <x v="3"/>
    <x v="0"/>
  </r>
  <r>
    <s v="TKT-0363"/>
    <x v="476"/>
    <m/>
    <s v="Technical Issue"/>
    <s v="Email"/>
    <x v="2"/>
    <x v="2"/>
    <x v="7"/>
    <m/>
    <m/>
    <x v="0"/>
    <x v="1"/>
  </r>
  <r>
    <s v="TKT-0367"/>
    <x v="477"/>
    <m/>
    <s v="Technical Issue"/>
    <s v="Email"/>
    <x v="0"/>
    <x v="2"/>
    <x v="5"/>
    <m/>
    <m/>
    <x v="0"/>
    <x v="1"/>
  </r>
  <r>
    <s v="TKT-0368"/>
    <x v="478"/>
    <m/>
    <s v="Payment"/>
    <s v="Email"/>
    <x v="0"/>
    <x v="2"/>
    <x v="5"/>
    <m/>
    <m/>
    <x v="3"/>
    <x v="1"/>
  </r>
  <r>
    <s v="TKT-0372"/>
    <x v="479"/>
    <m/>
    <s v="Payment"/>
    <s v="Social Media"/>
    <x v="3"/>
    <x v="2"/>
    <x v="6"/>
    <m/>
    <m/>
    <x v="3"/>
    <x v="3"/>
  </r>
  <r>
    <s v="TKT-0378"/>
    <x v="480"/>
    <m/>
    <s v="Product Information"/>
    <s v="Phone"/>
    <x v="3"/>
    <x v="2"/>
    <x v="4"/>
    <m/>
    <m/>
    <x v="2"/>
    <x v="0"/>
  </r>
  <r>
    <s v="TKT-0391"/>
    <x v="481"/>
    <m/>
    <s v="Refund"/>
    <s v="Email"/>
    <x v="1"/>
    <x v="2"/>
    <x v="7"/>
    <m/>
    <m/>
    <x v="4"/>
    <x v="1"/>
  </r>
  <r>
    <s v="TKT-0399"/>
    <x v="482"/>
    <m/>
    <s v="Product Information"/>
    <s v="Chat"/>
    <x v="1"/>
    <x v="2"/>
    <x v="3"/>
    <m/>
    <m/>
    <x v="2"/>
    <x v="2"/>
  </r>
  <r>
    <s v="TKT-0405"/>
    <x v="483"/>
    <m/>
    <s v="Technical Issue"/>
    <s v="Social Media"/>
    <x v="1"/>
    <x v="2"/>
    <x v="4"/>
    <m/>
    <m/>
    <x v="0"/>
    <x v="3"/>
  </r>
  <r>
    <s v="TKT-0406"/>
    <x v="484"/>
    <m/>
    <s v="Payment"/>
    <s v="Social Media"/>
    <x v="2"/>
    <x v="2"/>
    <x v="0"/>
    <m/>
    <m/>
    <x v="3"/>
    <x v="3"/>
  </r>
  <r>
    <s v="TKT-0408"/>
    <x v="485"/>
    <m/>
    <s v="Refund"/>
    <s v="Email"/>
    <x v="3"/>
    <x v="2"/>
    <x v="7"/>
    <m/>
    <m/>
    <x v="4"/>
    <x v="1"/>
  </r>
  <r>
    <s v="TKT-0410"/>
    <x v="486"/>
    <m/>
    <s v="Product Information"/>
    <s v="Phone"/>
    <x v="2"/>
    <x v="2"/>
    <x v="7"/>
    <m/>
    <m/>
    <x v="2"/>
    <x v="0"/>
  </r>
  <r>
    <s v="TKT-0423"/>
    <x v="487"/>
    <m/>
    <s v="Refund"/>
    <s v="Phone"/>
    <x v="0"/>
    <x v="2"/>
    <x v="7"/>
    <m/>
    <m/>
    <x v="4"/>
    <x v="0"/>
  </r>
  <r>
    <s v="TKT-0427"/>
    <x v="488"/>
    <m/>
    <s v="Product Information"/>
    <s v="Phone"/>
    <x v="1"/>
    <x v="2"/>
    <x v="1"/>
    <m/>
    <m/>
    <x v="2"/>
    <x v="0"/>
  </r>
  <r>
    <s v="TKT-0435"/>
    <x v="489"/>
    <m/>
    <s v="Delivery"/>
    <s v="Chat"/>
    <x v="3"/>
    <x v="2"/>
    <x v="7"/>
    <m/>
    <m/>
    <x v="5"/>
    <x v="2"/>
  </r>
  <r>
    <s v="TKT-0438"/>
    <x v="490"/>
    <m/>
    <s v="Account"/>
    <s v="Social Media"/>
    <x v="2"/>
    <x v="2"/>
    <x v="3"/>
    <m/>
    <m/>
    <x v="1"/>
    <x v="3"/>
  </r>
  <r>
    <s v="TKT-0448"/>
    <x v="491"/>
    <m/>
    <s v="Refund"/>
    <s v="Chat"/>
    <x v="2"/>
    <x v="2"/>
    <x v="7"/>
    <m/>
    <m/>
    <x v="4"/>
    <x v="2"/>
  </r>
  <r>
    <s v="TKT-0453"/>
    <x v="492"/>
    <m/>
    <s v="Payment"/>
    <s v="Email"/>
    <x v="1"/>
    <x v="2"/>
    <x v="2"/>
    <m/>
    <m/>
    <x v="3"/>
    <x v="1"/>
  </r>
  <r>
    <s v="TKT-0457"/>
    <x v="493"/>
    <m/>
    <s v="Technical Issue"/>
    <s v="Phone"/>
    <x v="2"/>
    <x v="2"/>
    <x v="6"/>
    <m/>
    <m/>
    <x v="0"/>
    <x v="0"/>
  </r>
  <r>
    <s v="TKT-0460"/>
    <x v="494"/>
    <m/>
    <s v="Delivery"/>
    <s v="Phone"/>
    <x v="3"/>
    <x v="2"/>
    <x v="6"/>
    <m/>
    <m/>
    <x v="5"/>
    <x v="0"/>
  </r>
  <r>
    <s v="TKT-0461"/>
    <x v="495"/>
    <m/>
    <s v="Payment"/>
    <s v="Phone"/>
    <x v="2"/>
    <x v="2"/>
    <x v="0"/>
    <m/>
    <m/>
    <x v="3"/>
    <x v="0"/>
  </r>
  <r>
    <s v="TKT-0472"/>
    <x v="496"/>
    <m/>
    <s v="Payment"/>
    <s v="Phone"/>
    <x v="3"/>
    <x v="2"/>
    <x v="6"/>
    <m/>
    <m/>
    <x v="3"/>
    <x v="0"/>
  </r>
  <r>
    <s v="TKT-0483"/>
    <x v="497"/>
    <m/>
    <s v="Refund"/>
    <s v="Phone"/>
    <x v="2"/>
    <x v="2"/>
    <x v="5"/>
    <m/>
    <m/>
    <x v="4"/>
    <x v="0"/>
  </r>
  <r>
    <s v="TKT-0485"/>
    <x v="498"/>
    <m/>
    <s v="Technical Issue"/>
    <s v="Email"/>
    <x v="1"/>
    <x v="2"/>
    <x v="5"/>
    <m/>
    <m/>
    <x v="0"/>
    <x v="1"/>
  </r>
  <r>
    <s v="TKT-0490"/>
    <x v="499"/>
    <m/>
    <s v="Product Information"/>
    <s v="Email"/>
    <x v="0"/>
    <x v="2"/>
    <x v="6"/>
    <m/>
    <m/>
    <x v="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E0A6722-D0A0-44B3-A631-9D4CA7D97FA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0:B44" firstHeaderRow="1" firstDataRow="1" firstDataCol="1"/>
  <pivotFields count="14">
    <pivotField dataField="1" showAll="0"/>
    <pivotField numFmtId="22" showAll="0">
      <items count="501">
        <item x="312"/>
        <item x="306"/>
        <item x="87"/>
        <item x="54"/>
        <item x="201"/>
        <item x="499"/>
        <item x="224"/>
        <item x="329"/>
        <item x="143"/>
        <item x="474"/>
        <item x="134"/>
        <item x="373"/>
        <item x="317"/>
        <item x="311"/>
        <item x="8"/>
        <item x="478"/>
        <item x="37"/>
        <item x="166"/>
        <item x="254"/>
        <item x="347"/>
        <item x="35"/>
        <item x="484"/>
        <item x="475"/>
        <item x="102"/>
        <item x="229"/>
        <item x="147"/>
        <item x="13"/>
        <item x="30"/>
        <item x="348"/>
        <item x="331"/>
        <item x="280"/>
        <item x="332"/>
        <item x="163"/>
        <item x="402"/>
        <item x="490"/>
        <item x="161"/>
        <item x="206"/>
        <item x="479"/>
        <item x="94"/>
        <item x="405"/>
        <item x="344"/>
        <item x="236"/>
        <item x="359"/>
        <item x="241"/>
        <item x="264"/>
        <item x="182"/>
        <item x="36"/>
        <item x="283"/>
        <item x="338"/>
        <item x="346"/>
        <item x="7"/>
        <item x="278"/>
        <item x="327"/>
        <item x="190"/>
        <item x="83"/>
        <item x="131"/>
        <item x="276"/>
        <item x="365"/>
        <item x="12"/>
        <item x="165"/>
        <item x="435"/>
        <item x="153"/>
        <item x="424"/>
        <item x="465"/>
        <item x="173"/>
        <item x="466"/>
        <item x="180"/>
        <item x="145"/>
        <item x="186"/>
        <item x="452"/>
        <item x="428"/>
        <item x="55"/>
        <item x="91"/>
        <item x="445"/>
        <item x="127"/>
        <item x="204"/>
        <item x="432"/>
        <item x="262"/>
        <item x="20"/>
        <item x="58"/>
        <item x="351"/>
        <item x="310"/>
        <item x="252"/>
        <item x="168"/>
        <item x="358"/>
        <item x="247"/>
        <item x="214"/>
        <item x="343"/>
        <item x="202"/>
        <item x="142"/>
        <item x="68"/>
        <item x="399"/>
        <item x="248"/>
        <item x="390"/>
        <item x="263"/>
        <item x="495"/>
        <item x="243"/>
        <item x="293"/>
        <item x="382"/>
        <item x="156"/>
        <item x="307"/>
        <item x="363"/>
        <item x="308"/>
        <item x="356"/>
        <item x="471"/>
        <item x="96"/>
        <item x="124"/>
        <item x="412"/>
        <item x="6"/>
        <item x="448"/>
        <item x="27"/>
        <item x="318"/>
        <item x="434"/>
        <item x="48"/>
        <item x="391"/>
        <item x="101"/>
        <item x="269"/>
        <item x="218"/>
        <item x="431"/>
        <item x="289"/>
        <item x="178"/>
        <item x="281"/>
        <item x="449"/>
        <item x="388"/>
        <item x="451"/>
        <item x="188"/>
        <item x="4"/>
        <item x="364"/>
        <item x="416"/>
        <item x="494"/>
        <item x="0"/>
        <item x="223"/>
        <item x="26"/>
        <item x="355"/>
        <item x="181"/>
        <item x="357"/>
        <item x="427"/>
        <item x="394"/>
        <item x="456"/>
        <item x="85"/>
        <item x="158"/>
        <item x="203"/>
        <item x="216"/>
        <item x="222"/>
        <item x="157"/>
        <item x="302"/>
        <item x="133"/>
        <item x="468"/>
        <item x="287"/>
        <item x="436"/>
        <item x="135"/>
        <item x="279"/>
        <item x="234"/>
        <item x="408"/>
        <item x="196"/>
        <item x="341"/>
        <item x="139"/>
        <item x="64"/>
        <item x="476"/>
        <item x="46"/>
        <item x="226"/>
        <item x="418"/>
        <item x="350"/>
        <item x="486"/>
        <item x="212"/>
        <item x="314"/>
        <item x="371"/>
        <item x="137"/>
        <item x="132"/>
        <item x="477"/>
        <item x="123"/>
        <item x="2"/>
        <item x="111"/>
        <item x="487"/>
        <item x="160"/>
        <item x="17"/>
        <item x="368"/>
        <item x="130"/>
        <item x="61"/>
        <item x="116"/>
        <item x="23"/>
        <item x="22"/>
        <item x="256"/>
        <item x="38"/>
        <item x="213"/>
        <item x="80"/>
        <item x="277"/>
        <item x="457"/>
        <item x="200"/>
        <item x="122"/>
        <item x="259"/>
        <item x="496"/>
        <item x="386"/>
        <item x="167"/>
        <item x="282"/>
        <item x="185"/>
        <item x="379"/>
        <item x="439"/>
        <item x="14"/>
        <item x="21"/>
        <item x="257"/>
        <item x="195"/>
        <item x="98"/>
        <item x="320"/>
        <item x="194"/>
        <item x="337"/>
        <item x="401"/>
        <item x="84"/>
        <item x="342"/>
        <item x="105"/>
        <item x="40"/>
        <item x="426"/>
        <item x="309"/>
        <item x="65"/>
        <item x="162"/>
        <item x="90"/>
        <item x="361"/>
        <item x="370"/>
        <item x="375"/>
        <item x="261"/>
        <item x="437"/>
        <item x="63"/>
        <item x="113"/>
        <item x="267"/>
        <item x="78"/>
        <item x="33"/>
        <item x="187"/>
        <item x="255"/>
        <item x="319"/>
        <item x="407"/>
        <item x="109"/>
        <item x="485"/>
        <item x="265"/>
        <item x="360"/>
        <item x="304"/>
        <item x="59"/>
        <item x="1"/>
        <item x="453"/>
        <item x="108"/>
        <item x="34"/>
        <item x="433"/>
        <item x="88"/>
        <item x="240"/>
        <item x="339"/>
        <item x="315"/>
        <item x="286"/>
        <item x="443"/>
        <item x="86"/>
        <item x="215"/>
        <item x="398"/>
        <item x="429"/>
        <item x="93"/>
        <item x="154"/>
        <item x="326"/>
        <item x="325"/>
        <item x="335"/>
        <item x="296"/>
        <item x="174"/>
        <item x="336"/>
        <item x="62"/>
        <item x="459"/>
        <item x="129"/>
        <item x="205"/>
        <item x="272"/>
        <item x="300"/>
        <item x="345"/>
        <item x="419"/>
        <item x="24"/>
        <item x="489"/>
        <item x="151"/>
        <item x="400"/>
        <item x="198"/>
        <item x="232"/>
        <item x="141"/>
        <item x="369"/>
        <item x="191"/>
        <item x="469"/>
        <item x="106"/>
        <item x="316"/>
        <item x="410"/>
        <item x="42"/>
        <item x="233"/>
        <item x="15"/>
        <item x="285"/>
        <item x="295"/>
        <item x="334"/>
        <item x="321"/>
        <item x="230"/>
        <item x="119"/>
        <item x="421"/>
        <item x="28"/>
        <item x="138"/>
        <item x="76"/>
        <item x="393"/>
        <item x="404"/>
        <item x="72"/>
        <item x="387"/>
        <item x="288"/>
        <item x="126"/>
        <item x="462"/>
        <item x="70"/>
        <item x="446"/>
        <item x="71"/>
        <item x="220"/>
        <item x="150"/>
        <item x="455"/>
        <item x="454"/>
        <item x="441"/>
        <item x="442"/>
        <item x="349"/>
        <item x="472"/>
        <item x="51"/>
        <item x="149"/>
        <item x="11"/>
        <item x="366"/>
        <item x="31"/>
        <item x="292"/>
        <item x="192"/>
        <item x="244"/>
        <item x="81"/>
        <item x="52"/>
        <item x="18"/>
        <item x="171"/>
        <item x="385"/>
        <item x="422"/>
        <item x="199"/>
        <item x="444"/>
        <item x="251"/>
        <item x="227"/>
        <item x="208"/>
        <item x="367"/>
        <item x="66"/>
        <item x="211"/>
        <item x="406"/>
        <item x="330"/>
        <item x="97"/>
        <item x="447"/>
        <item x="498"/>
        <item x="425"/>
        <item x="110"/>
        <item x="107"/>
        <item x="381"/>
        <item x="430"/>
        <item x="374"/>
        <item x="313"/>
        <item x="235"/>
        <item x="460"/>
        <item x="92"/>
        <item x="225"/>
        <item x="450"/>
        <item x="125"/>
        <item x="193"/>
        <item x="219"/>
        <item x="183"/>
        <item x="128"/>
        <item x="41"/>
        <item x="260"/>
        <item x="169"/>
        <item x="221"/>
        <item x="5"/>
        <item x="148"/>
        <item x="411"/>
        <item x="245"/>
        <item x="114"/>
        <item x="210"/>
        <item x="275"/>
        <item x="179"/>
        <item x="146"/>
        <item x="488"/>
        <item x="305"/>
        <item x="152"/>
        <item x="492"/>
        <item x="380"/>
        <item x="103"/>
        <item x="473"/>
        <item x="271"/>
        <item x="493"/>
        <item x="284"/>
        <item x="231"/>
        <item x="354"/>
        <item x="164"/>
        <item x="189"/>
        <item x="303"/>
        <item x="403"/>
        <item x="482"/>
        <item x="9"/>
        <item x="396"/>
        <item x="238"/>
        <item x="377"/>
        <item x="47"/>
        <item x="89"/>
        <item x="414"/>
        <item x="159"/>
        <item x="324"/>
        <item x="467"/>
        <item x="112"/>
        <item x="136"/>
        <item x="118"/>
        <item x="483"/>
        <item x="415"/>
        <item x="39"/>
        <item x="413"/>
        <item x="75"/>
        <item x="79"/>
        <item x="217"/>
        <item x="99"/>
        <item x="176"/>
        <item x="207"/>
        <item x="120"/>
        <item x="395"/>
        <item x="3"/>
        <item x="104"/>
        <item x="480"/>
        <item x="353"/>
        <item x="32"/>
        <item x="423"/>
        <item x="397"/>
        <item x="209"/>
        <item x="53"/>
        <item x="172"/>
        <item x="274"/>
        <item x="67"/>
        <item x="184"/>
        <item x="273"/>
        <item x="340"/>
        <item x="73"/>
        <item x="301"/>
        <item x="45"/>
        <item x="95"/>
        <item x="299"/>
        <item x="268"/>
        <item x="239"/>
        <item x="249"/>
        <item x="470"/>
        <item x="270"/>
        <item x="440"/>
        <item x="378"/>
        <item x="481"/>
        <item x="322"/>
        <item x="57"/>
        <item x="328"/>
        <item x="237"/>
        <item x="44"/>
        <item x="74"/>
        <item x="258"/>
        <item x="25"/>
        <item x="420"/>
        <item x="19"/>
        <item x="392"/>
        <item x="197"/>
        <item x="43"/>
        <item x="175"/>
        <item x="170"/>
        <item x="50"/>
        <item x="464"/>
        <item x="291"/>
        <item x="69"/>
        <item x="383"/>
        <item x="29"/>
        <item x="461"/>
        <item x="372"/>
        <item x="60"/>
        <item x="140"/>
        <item x="253"/>
        <item x="121"/>
        <item x="228"/>
        <item x="297"/>
        <item x="389"/>
        <item x="56"/>
        <item x="352"/>
        <item x="77"/>
        <item x="384"/>
        <item x="246"/>
        <item x="250"/>
        <item x="333"/>
        <item x="10"/>
        <item x="362"/>
        <item x="290"/>
        <item x="16"/>
        <item x="115"/>
        <item x="144"/>
        <item x="117"/>
        <item x="49"/>
        <item x="409"/>
        <item x="266"/>
        <item x="155"/>
        <item x="177"/>
        <item x="497"/>
        <item x="323"/>
        <item x="298"/>
        <item x="491"/>
        <item x="417"/>
        <item x="82"/>
        <item x="294"/>
        <item x="242"/>
        <item x="100"/>
        <item x="463"/>
        <item x="438"/>
        <item x="376"/>
        <item x="458"/>
        <item t="default"/>
      </items>
    </pivotField>
    <pivotField showAll="0"/>
    <pivotField showAll="0"/>
    <pivotField showAll="0"/>
    <pivotField showAll="0"/>
    <pivotField axis="axisRow" showAll="0">
      <items count="4">
        <item x="1"/>
        <item x="2"/>
        <item x="0"/>
        <item t="default"/>
      </items>
    </pivotField>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4">
    <i>
      <x/>
    </i>
    <i>
      <x v="1"/>
    </i>
    <i>
      <x v="2"/>
    </i>
    <i t="grand">
      <x/>
    </i>
  </rowItems>
  <colItems count="1">
    <i/>
  </colItems>
  <dataFields count="1">
    <dataField name="Count of ticke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100E5CB-3D01-4911-829F-6580FB57983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13:B118" firstHeaderRow="1" firstDataRow="1" firstDataCol="1"/>
  <pivotFields count="14">
    <pivotField dataField="1" showAll="0"/>
    <pivotField numFmtId="22" showAll="0">
      <items count="501">
        <item x="312"/>
        <item x="306"/>
        <item x="87"/>
        <item x="54"/>
        <item x="201"/>
        <item x="499"/>
        <item x="224"/>
        <item x="329"/>
        <item x="143"/>
        <item x="474"/>
        <item x="134"/>
        <item x="373"/>
        <item x="317"/>
        <item x="311"/>
        <item x="8"/>
        <item x="478"/>
        <item x="37"/>
        <item x="166"/>
        <item x="254"/>
        <item x="347"/>
        <item x="35"/>
        <item x="484"/>
        <item x="475"/>
        <item x="102"/>
        <item x="229"/>
        <item x="147"/>
        <item x="13"/>
        <item x="30"/>
        <item x="348"/>
        <item x="331"/>
        <item x="280"/>
        <item x="332"/>
        <item x="163"/>
        <item x="402"/>
        <item x="490"/>
        <item x="161"/>
        <item x="206"/>
        <item x="479"/>
        <item x="94"/>
        <item x="405"/>
        <item x="344"/>
        <item x="236"/>
        <item x="359"/>
        <item x="241"/>
        <item x="264"/>
        <item x="182"/>
        <item x="36"/>
        <item x="283"/>
        <item x="338"/>
        <item x="346"/>
        <item x="7"/>
        <item x="278"/>
        <item x="327"/>
        <item x="190"/>
        <item x="83"/>
        <item x="131"/>
        <item x="276"/>
        <item x="365"/>
        <item x="12"/>
        <item x="165"/>
        <item x="435"/>
        <item x="153"/>
        <item x="424"/>
        <item x="465"/>
        <item x="173"/>
        <item x="466"/>
        <item x="180"/>
        <item x="145"/>
        <item x="186"/>
        <item x="452"/>
        <item x="428"/>
        <item x="55"/>
        <item x="91"/>
        <item x="445"/>
        <item x="127"/>
        <item x="204"/>
        <item x="432"/>
        <item x="262"/>
        <item x="20"/>
        <item x="58"/>
        <item x="351"/>
        <item x="310"/>
        <item x="252"/>
        <item x="168"/>
        <item x="358"/>
        <item x="247"/>
        <item x="214"/>
        <item x="343"/>
        <item x="202"/>
        <item x="142"/>
        <item x="68"/>
        <item x="399"/>
        <item x="248"/>
        <item x="390"/>
        <item x="263"/>
        <item x="495"/>
        <item x="243"/>
        <item x="293"/>
        <item x="382"/>
        <item x="156"/>
        <item x="307"/>
        <item x="363"/>
        <item x="308"/>
        <item x="356"/>
        <item x="471"/>
        <item x="96"/>
        <item x="124"/>
        <item x="412"/>
        <item x="6"/>
        <item x="448"/>
        <item x="27"/>
        <item x="318"/>
        <item x="434"/>
        <item x="48"/>
        <item x="391"/>
        <item x="101"/>
        <item x="269"/>
        <item x="218"/>
        <item x="431"/>
        <item x="289"/>
        <item x="178"/>
        <item x="281"/>
        <item x="449"/>
        <item x="388"/>
        <item x="451"/>
        <item x="188"/>
        <item x="4"/>
        <item x="364"/>
        <item x="416"/>
        <item x="494"/>
        <item x="0"/>
        <item x="223"/>
        <item x="26"/>
        <item x="355"/>
        <item x="181"/>
        <item x="357"/>
        <item x="427"/>
        <item x="394"/>
        <item x="456"/>
        <item x="85"/>
        <item x="158"/>
        <item x="203"/>
        <item x="216"/>
        <item x="222"/>
        <item x="157"/>
        <item x="302"/>
        <item x="133"/>
        <item x="468"/>
        <item x="287"/>
        <item x="436"/>
        <item x="135"/>
        <item x="279"/>
        <item x="234"/>
        <item x="408"/>
        <item x="196"/>
        <item x="341"/>
        <item x="139"/>
        <item x="64"/>
        <item x="476"/>
        <item x="46"/>
        <item x="226"/>
        <item x="418"/>
        <item x="350"/>
        <item x="486"/>
        <item x="212"/>
        <item x="314"/>
        <item x="371"/>
        <item x="137"/>
        <item x="132"/>
        <item x="477"/>
        <item x="123"/>
        <item x="2"/>
        <item x="111"/>
        <item x="487"/>
        <item x="160"/>
        <item x="17"/>
        <item x="368"/>
        <item x="130"/>
        <item x="61"/>
        <item x="116"/>
        <item x="23"/>
        <item x="22"/>
        <item x="256"/>
        <item x="38"/>
        <item x="213"/>
        <item x="80"/>
        <item x="277"/>
        <item x="457"/>
        <item x="200"/>
        <item x="122"/>
        <item x="259"/>
        <item x="496"/>
        <item x="386"/>
        <item x="167"/>
        <item x="282"/>
        <item x="185"/>
        <item x="379"/>
        <item x="439"/>
        <item x="14"/>
        <item x="21"/>
        <item x="257"/>
        <item x="195"/>
        <item x="98"/>
        <item x="320"/>
        <item x="194"/>
        <item x="337"/>
        <item x="401"/>
        <item x="84"/>
        <item x="342"/>
        <item x="105"/>
        <item x="40"/>
        <item x="426"/>
        <item x="309"/>
        <item x="65"/>
        <item x="162"/>
        <item x="90"/>
        <item x="361"/>
        <item x="370"/>
        <item x="375"/>
        <item x="261"/>
        <item x="437"/>
        <item x="63"/>
        <item x="113"/>
        <item x="267"/>
        <item x="78"/>
        <item x="33"/>
        <item x="187"/>
        <item x="255"/>
        <item x="319"/>
        <item x="407"/>
        <item x="109"/>
        <item x="485"/>
        <item x="265"/>
        <item x="360"/>
        <item x="304"/>
        <item x="59"/>
        <item x="1"/>
        <item x="453"/>
        <item x="108"/>
        <item x="34"/>
        <item x="433"/>
        <item x="88"/>
        <item x="240"/>
        <item x="339"/>
        <item x="315"/>
        <item x="286"/>
        <item x="443"/>
        <item x="86"/>
        <item x="215"/>
        <item x="398"/>
        <item x="429"/>
        <item x="93"/>
        <item x="154"/>
        <item x="326"/>
        <item x="325"/>
        <item x="335"/>
        <item x="296"/>
        <item x="174"/>
        <item x="336"/>
        <item x="62"/>
        <item x="459"/>
        <item x="129"/>
        <item x="205"/>
        <item x="272"/>
        <item x="300"/>
        <item x="345"/>
        <item x="419"/>
        <item x="24"/>
        <item x="489"/>
        <item x="151"/>
        <item x="400"/>
        <item x="198"/>
        <item x="232"/>
        <item x="141"/>
        <item x="369"/>
        <item x="191"/>
        <item x="469"/>
        <item x="106"/>
        <item x="316"/>
        <item x="410"/>
        <item x="42"/>
        <item x="233"/>
        <item x="15"/>
        <item x="285"/>
        <item x="295"/>
        <item x="334"/>
        <item x="321"/>
        <item x="230"/>
        <item x="119"/>
        <item x="421"/>
        <item x="28"/>
        <item x="138"/>
        <item x="76"/>
        <item x="393"/>
        <item x="404"/>
        <item x="72"/>
        <item x="387"/>
        <item x="288"/>
        <item x="126"/>
        <item x="462"/>
        <item x="70"/>
        <item x="446"/>
        <item x="71"/>
        <item x="220"/>
        <item x="150"/>
        <item x="455"/>
        <item x="454"/>
        <item x="441"/>
        <item x="442"/>
        <item x="349"/>
        <item x="472"/>
        <item x="51"/>
        <item x="149"/>
        <item x="11"/>
        <item x="366"/>
        <item x="31"/>
        <item x="292"/>
        <item x="192"/>
        <item x="244"/>
        <item x="81"/>
        <item x="52"/>
        <item x="18"/>
        <item x="171"/>
        <item x="385"/>
        <item x="422"/>
        <item x="199"/>
        <item x="444"/>
        <item x="251"/>
        <item x="227"/>
        <item x="208"/>
        <item x="367"/>
        <item x="66"/>
        <item x="211"/>
        <item x="406"/>
        <item x="330"/>
        <item x="97"/>
        <item x="447"/>
        <item x="498"/>
        <item x="425"/>
        <item x="110"/>
        <item x="107"/>
        <item x="381"/>
        <item x="430"/>
        <item x="374"/>
        <item x="313"/>
        <item x="235"/>
        <item x="460"/>
        <item x="92"/>
        <item x="225"/>
        <item x="450"/>
        <item x="125"/>
        <item x="193"/>
        <item x="219"/>
        <item x="183"/>
        <item x="128"/>
        <item x="41"/>
        <item x="260"/>
        <item x="169"/>
        <item x="221"/>
        <item x="5"/>
        <item x="148"/>
        <item x="411"/>
        <item x="245"/>
        <item x="114"/>
        <item x="210"/>
        <item x="275"/>
        <item x="179"/>
        <item x="146"/>
        <item x="488"/>
        <item x="305"/>
        <item x="152"/>
        <item x="492"/>
        <item x="380"/>
        <item x="103"/>
        <item x="473"/>
        <item x="271"/>
        <item x="493"/>
        <item x="284"/>
        <item x="231"/>
        <item x="354"/>
        <item x="164"/>
        <item x="189"/>
        <item x="303"/>
        <item x="403"/>
        <item x="482"/>
        <item x="9"/>
        <item x="396"/>
        <item x="238"/>
        <item x="377"/>
        <item x="47"/>
        <item x="89"/>
        <item x="414"/>
        <item x="159"/>
        <item x="324"/>
        <item x="467"/>
        <item x="112"/>
        <item x="136"/>
        <item x="118"/>
        <item x="483"/>
        <item x="415"/>
        <item x="39"/>
        <item x="413"/>
        <item x="75"/>
        <item x="79"/>
        <item x="217"/>
        <item x="99"/>
        <item x="176"/>
        <item x="207"/>
        <item x="120"/>
        <item x="395"/>
        <item x="3"/>
        <item x="104"/>
        <item x="480"/>
        <item x="353"/>
        <item x="32"/>
        <item x="423"/>
        <item x="397"/>
        <item x="209"/>
        <item x="53"/>
        <item x="172"/>
        <item x="274"/>
        <item x="67"/>
        <item x="184"/>
        <item x="273"/>
        <item x="340"/>
        <item x="73"/>
        <item x="301"/>
        <item x="45"/>
        <item x="95"/>
        <item x="299"/>
        <item x="268"/>
        <item x="239"/>
        <item x="249"/>
        <item x="470"/>
        <item x="270"/>
        <item x="440"/>
        <item x="378"/>
        <item x="481"/>
        <item x="322"/>
        <item x="57"/>
        <item x="328"/>
        <item x="237"/>
        <item x="44"/>
        <item x="74"/>
        <item x="258"/>
        <item x="25"/>
        <item x="420"/>
        <item x="19"/>
        <item x="392"/>
        <item x="197"/>
        <item x="43"/>
        <item x="175"/>
        <item x="170"/>
        <item x="50"/>
        <item x="464"/>
        <item x="291"/>
        <item x="69"/>
        <item x="383"/>
        <item x="29"/>
        <item x="461"/>
        <item x="372"/>
        <item x="60"/>
        <item x="140"/>
        <item x="253"/>
        <item x="121"/>
        <item x="228"/>
        <item x="297"/>
        <item x="389"/>
        <item x="56"/>
        <item x="352"/>
        <item x="77"/>
        <item x="384"/>
        <item x="246"/>
        <item x="250"/>
        <item x="333"/>
        <item x="10"/>
        <item x="362"/>
        <item x="290"/>
        <item x="16"/>
        <item x="115"/>
        <item x="144"/>
        <item x="117"/>
        <item x="49"/>
        <item x="409"/>
        <item x="266"/>
        <item x="155"/>
        <item x="177"/>
        <item x="497"/>
        <item x="323"/>
        <item x="298"/>
        <item x="491"/>
        <item x="417"/>
        <item x="82"/>
        <item x="294"/>
        <item x="242"/>
        <item x="100"/>
        <item x="463"/>
        <item x="438"/>
        <item x="376"/>
        <item x="458"/>
        <item t="default"/>
      </items>
    </pivotField>
    <pivotField showAll="0"/>
    <pivotField showAll="0"/>
    <pivotField showAll="0"/>
    <pivotField showAll="0"/>
    <pivotField showAll="0"/>
    <pivotField showAll="0"/>
    <pivotField showAll="0"/>
    <pivotField showAll="0"/>
    <pivotField showAll="0"/>
    <pivotField axis="axisRow" showAll="0">
      <items count="5">
        <item x="2"/>
        <item x="1"/>
        <item x="0"/>
        <item x="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1"/>
  </rowFields>
  <rowItems count="5">
    <i>
      <x/>
    </i>
    <i>
      <x v="1"/>
    </i>
    <i>
      <x v="2"/>
    </i>
    <i>
      <x v="3"/>
    </i>
    <i t="grand">
      <x/>
    </i>
  </rowItems>
  <colItems count="1">
    <i/>
  </colItems>
  <dataFields count="1">
    <dataField name="Count of ticket_i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EB1C2C4-F8C2-4433-B9CB-7D9754EA455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3:B28" firstHeaderRow="1" firstDataRow="1" firstDataCol="1"/>
  <pivotFields count="14">
    <pivotField dataField="1" showAll="0"/>
    <pivotField numFmtId="22" showAll="0">
      <items count="501">
        <item x="312"/>
        <item x="306"/>
        <item x="87"/>
        <item x="54"/>
        <item x="201"/>
        <item x="499"/>
        <item x="224"/>
        <item x="329"/>
        <item x="143"/>
        <item x="474"/>
        <item x="134"/>
        <item x="373"/>
        <item x="317"/>
        <item x="311"/>
        <item x="8"/>
        <item x="478"/>
        <item x="37"/>
        <item x="166"/>
        <item x="254"/>
        <item x="347"/>
        <item x="35"/>
        <item x="484"/>
        <item x="475"/>
        <item x="102"/>
        <item x="229"/>
        <item x="147"/>
        <item x="13"/>
        <item x="30"/>
        <item x="348"/>
        <item x="331"/>
        <item x="280"/>
        <item x="332"/>
        <item x="163"/>
        <item x="402"/>
        <item x="490"/>
        <item x="161"/>
        <item x="206"/>
        <item x="479"/>
        <item x="94"/>
        <item x="405"/>
        <item x="344"/>
        <item x="236"/>
        <item x="359"/>
        <item x="241"/>
        <item x="264"/>
        <item x="182"/>
        <item x="36"/>
        <item x="283"/>
        <item x="338"/>
        <item x="346"/>
        <item x="7"/>
        <item x="278"/>
        <item x="327"/>
        <item x="190"/>
        <item x="83"/>
        <item x="131"/>
        <item x="276"/>
        <item x="365"/>
        <item x="12"/>
        <item x="165"/>
        <item x="435"/>
        <item x="153"/>
        <item x="424"/>
        <item x="465"/>
        <item x="173"/>
        <item x="466"/>
        <item x="180"/>
        <item x="145"/>
        <item x="186"/>
        <item x="452"/>
        <item x="428"/>
        <item x="55"/>
        <item x="91"/>
        <item x="445"/>
        <item x="127"/>
        <item x="204"/>
        <item x="432"/>
        <item x="262"/>
        <item x="20"/>
        <item x="58"/>
        <item x="351"/>
        <item x="310"/>
        <item x="252"/>
        <item x="168"/>
        <item x="358"/>
        <item x="247"/>
        <item x="214"/>
        <item x="343"/>
        <item x="202"/>
        <item x="142"/>
        <item x="68"/>
        <item x="399"/>
        <item x="248"/>
        <item x="390"/>
        <item x="263"/>
        <item x="495"/>
        <item x="243"/>
        <item x="293"/>
        <item x="382"/>
        <item x="156"/>
        <item x="307"/>
        <item x="363"/>
        <item x="308"/>
        <item x="356"/>
        <item x="471"/>
        <item x="96"/>
        <item x="124"/>
        <item x="412"/>
        <item x="6"/>
        <item x="448"/>
        <item x="27"/>
        <item x="318"/>
        <item x="434"/>
        <item x="48"/>
        <item x="391"/>
        <item x="101"/>
        <item x="269"/>
        <item x="218"/>
        <item x="431"/>
        <item x="289"/>
        <item x="178"/>
        <item x="281"/>
        <item x="449"/>
        <item x="388"/>
        <item x="451"/>
        <item x="188"/>
        <item x="4"/>
        <item x="364"/>
        <item x="416"/>
        <item x="494"/>
        <item x="0"/>
        <item x="223"/>
        <item x="26"/>
        <item x="355"/>
        <item x="181"/>
        <item x="357"/>
        <item x="427"/>
        <item x="394"/>
        <item x="456"/>
        <item x="85"/>
        <item x="158"/>
        <item x="203"/>
        <item x="216"/>
        <item x="222"/>
        <item x="157"/>
        <item x="302"/>
        <item x="133"/>
        <item x="468"/>
        <item x="287"/>
        <item x="436"/>
        <item x="135"/>
        <item x="279"/>
        <item x="234"/>
        <item x="408"/>
        <item x="196"/>
        <item x="341"/>
        <item x="139"/>
        <item x="64"/>
        <item x="476"/>
        <item x="46"/>
        <item x="226"/>
        <item x="418"/>
        <item x="350"/>
        <item x="486"/>
        <item x="212"/>
        <item x="314"/>
        <item x="371"/>
        <item x="137"/>
        <item x="132"/>
        <item x="477"/>
        <item x="123"/>
        <item x="2"/>
        <item x="111"/>
        <item x="487"/>
        <item x="160"/>
        <item x="17"/>
        <item x="368"/>
        <item x="130"/>
        <item x="61"/>
        <item x="116"/>
        <item x="23"/>
        <item x="22"/>
        <item x="256"/>
        <item x="38"/>
        <item x="213"/>
        <item x="80"/>
        <item x="277"/>
        <item x="457"/>
        <item x="200"/>
        <item x="122"/>
        <item x="259"/>
        <item x="496"/>
        <item x="386"/>
        <item x="167"/>
        <item x="282"/>
        <item x="185"/>
        <item x="379"/>
        <item x="439"/>
        <item x="14"/>
        <item x="21"/>
        <item x="257"/>
        <item x="195"/>
        <item x="98"/>
        <item x="320"/>
        <item x="194"/>
        <item x="337"/>
        <item x="401"/>
        <item x="84"/>
        <item x="342"/>
        <item x="105"/>
        <item x="40"/>
        <item x="426"/>
        <item x="309"/>
        <item x="65"/>
        <item x="162"/>
        <item x="90"/>
        <item x="361"/>
        <item x="370"/>
        <item x="375"/>
        <item x="261"/>
        <item x="437"/>
        <item x="63"/>
        <item x="113"/>
        <item x="267"/>
        <item x="78"/>
        <item x="33"/>
        <item x="187"/>
        <item x="255"/>
        <item x="319"/>
        <item x="407"/>
        <item x="109"/>
        <item x="485"/>
        <item x="265"/>
        <item x="360"/>
        <item x="304"/>
        <item x="59"/>
        <item x="1"/>
        <item x="453"/>
        <item x="108"/>
        <item x="34"/>
        <item x="433"/>
        <item x="88"/>
        <item x="240"/>
        <item x="339"/>
        <item x="315"/>
        <item x="286"/>
        <item x="443"/>
        <item x="86"/>
        <item x="215"/>
        <item x="398"/>
        <item x="429"/>
        <item x="93"/>
        <item x="154"/>
        <item x="326"/>
        <item x="325"/>
        <item x="335"/>
        <item x="296"/>
        <item x="174"/>
        <item x="336"/>
        <item x="62"/>
        <item x="459"/>
        <item x="129"/>
        <item x="205"/>
        <item x="272"/>
        <item x="300"/>
        <item x="345"/>
        <item x="419"/>
        <item x="24"/>
        <item x="489"/>
        <item x="151"/>
        <item x="400"/>
        <item x="198"/>
        <item x="232"/>
        <item x="141"/>
        <item x="369"/>
        <item x="191"/>
        <item x="469"/>
        <item x="106"/>
        <item x="316"/>
        <item x="410"/>
        <item x="42"/>
        <item x="233"/>
        <item x="15"/>
        <item x="285"/>
        <item x="295"/>
        <item x="334"/>
        <item x="321"/>
        <item x="230"/>
        <item x="119"/>
        <item x="421"/>
        <item x="28"/>
        <item x="138"/>
        <item x="76"/>
        <item x="393"/>
        <item x="404"/>
        <item x="72"/>
        <item x="387"/>
        <item x="288"/>
        <item x="126"/>
        <item x="462"/>
        <item x="70"/>
        <item x="446"/>
        <item x="71"/>
        <item x="220"/>
        <item x="150"/>
        <item x="455"/>
        <item x="454"/>
        <item x="441"/>
        <item x="442"/>
        <item x="349"/>
        <item x="472"/>
        <item x="51"/>
        <item x="149"/>
        <item x="11"/>
        <item x="366"/>
        <item x="31"/>
        <item x="292"/>
        <item x="192"/>
        <item x="244"/>
        <item x="81"/>
        <item x="52"/>
        <item x="18"/>
        <item x="171"/>
        <item x="385"/>
        <item x="422"/>
        <item x="199"/>
        <item x="444"/>
        <item x="251"/>
        <item x="227"/>
        <item x="208"/>
        <item x="367"/>
        <item x="66"/>
        <item x="211"/>
        <item x="406"/>
        <item x="330"/>
        <item x="97"/>
        <item x="447"/>
        <item x="498"/>
        <item x="425"/>
        <item x="110"/>
        <item x="107"/>
        <item x="381"/>
        <item x="430"/>
        <item x="374"/>
        <item x="313"/>
        <item x="235"/>
        <item x="460"/>
        <item x="92"/>
        <item x="225"/>
        <item x="450"/>
        <item x="125"/>
        <item x="193"/>
        <item x="219"/>
        <item x="183"/>
        <item x="128"/>
        <item x="41"/>
        <item x="260"/>
        <item x="169"/>
        <item x="221"/>
        <item x="5"/>
        <item x="148"/>
        <item x="411"/>
        <item x="245"/>
        <item x="114"/>
        <item x="210"/>
        <item x="275"/>
        <item x="179"/>
        <item x="146"/>
        <item x="488"/>
        <item x="305"/>
        <item x="152"/>
        <item x="492"/>
        <item x="380"/>
        <item x="103"/>
        <item x="473"/>
        <item x="271"/>
        <item x="493"/>
        <item x="284"/>
        <item x="231"/>
        <item x="354"/>
        <item x="164"/>
        <item x="189"/>
        <item x="303"/>
        <item x="403"/>
        <item x="482"/>
        <item x="9"/>
        <item x="396"/>
        <item x="238"/>
        <item x="377"/>
        <item x="47"/>
        <item x="89"/>
        <item x="414"/>
        <item x="159"/>
        <item x="324"/>
        <item x="467"/>
        <item x="112"/>
        <item x="136"/>
        <item x="118"/>
        <item x="483"/>
        <item x="415"/>
        <item x="39"/>
        <item x="413"/>
        <item x="75"/>
        <item x="79"/>
        <item x="217"/>
        <item x="99"/>
        <item x="176"/>
        <item x="207"/>
        <item x="120"/>
        <item x="395"/>
        <item x="3"/>
        <item x="104"/>
        <item x="480"/>
        <item x="353"/>
        <item x="32"/>
        <item x="423"/>
        <item x="397"/>
        <item x="209"/>
        <item x="53"/>
        <item x="172"/>
        <item x="274"/>
        <item x="67"/>
        <item x="184"/>
        <item x="273"/>
        <item x="340"/>
        <item x="73"/>
        <item x="301"/>
        <item x="45"/>
        <item x="95"/>
        <item x="299"/>
        <item x="268"/>
        <item x="239"/>
        <item x="249"/>
        <item x="470"/>
        <item x="270"/>
        <item x="440"/>
        <item x="378"/>
        <item x="481"/>
        <item x="322"/>
        <item x="57"/>
        <item x="328"/>
        <item x="237"/>
        <item x="44"/>
        <item x="74"/>
        <item x="258"/>
        <item x="25"/>
        <item x="420"/>
        <item x="19"/>
        <item x="392"/>
        <item x="197"/>
        <item x="43"/>
        <item x="175"/>
        <item x="170"/>
        <item x="50"/>
        <item x="464"/>
        <item x="291"/>
        <item x="69"/>
        <item x="383"/>
        <item x="29"/>
        <item x="461"/>
        <item x="372"/>
        <item x="60"/>
        <item x="140"/>
        <item x="253"/>
        <item x="121"/>
        <item x="228"/>
        <item x="297"/>
        <item x="389"/>
        <item x="56"/>
        <item x="352"/>
        <item x="77"/>
        <item x="384"/>
        <item x="246"/>
        <item x="250"/>
        <item x="333"/>
        <item x="10"/>
        <item x="362"/>
        <item x="290"/>
        <item x="16"/>
        <item x="115"/>
        <item x="144"/>
        <item x="117"/>
        <item x="49"/>
        <item x="409"/>
        <item x="266"/>
        <item x="155"/>
        <item x="177"/>
        <item x="497"/>
        <item x="323"/>
        <item x="298"/>
        <item x="491"/>
        <item x="417"/>
        <item x="82"/>
        <item x="294"/>
        <item x="242"/>
        <item x="100"/>
        <item x="463"/>
        <item x="438"/>
        <item x="376"/>
        <item x="458"/>
        <item t="default"/>
      </items>
    </pivotField>
    <pivotField showAll="0"/>
    <pivotField showAll="0"/>
    <pivotField showAll="0"/>
    <pivotField axis="axisRow" showAll="0">
      <items count="5">
        <item x="0"/>
        <item x="2"/>
        <item x="3"/>
        <item x="1"/>
        <item t="default"/>
      </items>
    </pivotField>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5">
    <i>
      <x/>
    </i>
    <i>
      <x v="1"/>
    </i>
    <i>
      <x v="2"/>
    </i>
    <i>
      <x v="3"/>
    </i>
    <i t="grand">
      <x/>
    </i>
  </rowItems>
  <colItems count="1">
    <i/>
  </colItems>
  <dataFields count="1">
    <dataField name="Count of ticket_i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E07FED5-08A3-4AF0-87A6-AD008B5F0E2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1" firstHeaderRow="1" firstDataRow="1" firstDataCol="1"/>
  <pivotFields count="14">
    <pivotField dataField="1" showAll="0"/>
    <pivotField numFmtId="22" showAll="0">
      <items count="501">
        <item x="312"/>
        <item x="306"/>
        <item x="87"/>
        <item x="54"/>
        <item x="201"/>
        <item x="499"/>
        <item x="224"/>
        <item x="329"/>
        <item x="143"/>
        <item x="474"/>
        <item x="134"/>
        <item x="373"/>
        <item x="317"/>
        <item x="311"/>
        <item x="8"/>
        <item x="478"/>
        <item x="37"/>
        <item x="166"/>
        <item x="254"/>
        <item x="347"/>
        <item x="35"/>
        <item x="484"/>
        <item x="475"/>
        <item x="102"/>
        <item x="229"/>
        <item x="147"/>
        <item x="13"/>
        <item x="30"/>
        <item x="348"/>
        <item x="331"/>
        <item x="280"/>
        <item x="332"/>
        <item x="163"/>
        <item x="402"/>
        <item x="490"/>
        <item x="161"/>
        <item x="206"/>
        <item x="479"/>
        <item x="94"/>
        <item x="405"/>
        <item x="344"/>
        <item x="236"/>
        <item x="359"/>
        <item x="241"/>
        <item x="264"/>
        <item x="182"/>
        <item x="36"/>
        <item x="283"/>
        <item x="338"/>
        <item x="346"/>
        <item x="7"/>
        <item x="278"/>
        <item x="327"/>
        <item x="190"/>
        <item x="83"/>
        <item x="131"/>
        <item x="276"/>
        <item x="365"/>
        <item x="12"/>
        <item x="165"/>
        <item x="435"/>
        <item x="153"/>
        <item x="424"/>
        <item x="465"/>
        <item x="173"/>
        <item x="466"/>
        <item x="180"/>
        <item x="145"/>
        <item x="186"/>
        <item x="452"/>
        <item x="428"/>
        <item x="55"/>
        <item x="91"/>
        <item x="445"/>
        <item x="127"/>
        <item x="204"/>
        <item x="432"/>
        <item x="262"/>
        <item x="20"/>
        <item x="58"/>
        <item x="351"/>
        <item x="310"/>
        <item x="252"/>
        <item x="168"/>
        <item x="358"/>
        <item x="247"/>
        <item x="214"/>
        <item x="343"/>
        <item x="202"/>
        <item x="142"/>
        <item x="68"/>
        <item x="399"/>
        <item x="248"/>
        <item x="390"/>
        <item x="263"/>
        <item x="495"/>
        <item x="243"/>
        <item x="293"/>
        <item x="382"/>
        <item x="156"/>
        <item x="307"/>
        <item x="363"/>
        <item x="308"/>
        <item x="356"/>
        <item x="471"/>
        <item x="96"/>
        <item x="124"/>
        <item x="412"/>
        <item x="6"/>
        <item x="448"/>
        <item x="27"/>
        <item x="318"/>
        <item x="434"/>
        <item x="48"/>
        <item x="391"/>
        <item x="101"/>
        <item x="269"/>
        <item x="218"/>
        <item x="431"/>
        <item x="289"/>
        <item x="178"/>
        <item x="281"/>
        <item x="449"/>
        <item x="388"/>
        <item x="451"/>
        <item x="188"/>
        <item x="4"/>
        <item x="364"/>
        <item x="416"/>
        <item x="494"/>
        <item x="0"/>
        <item x="223"/>
        <item x="26"/>
        <item x="355"/>
        <item x="181"/>
        <item x="357"/>
        <item x="427"/>
        <item x="394"/>
        <item x="456"/>
        <item x="85"/>
        <item x="158"/>
        <item x="203"/>
        <item x="216"/>
        <item x="222"/>
        <item x="157"/>
        <item x="302"/>
        <item x="133"/>
        <item x="468"/>
        <item x="287"/>
        <item x="436"/>
        <item x="135"/>
        <item x="279"/>
        <item x="234"/>
        <item x="408"/>
        <item x="196"/>
        <item x="341"/>
        <item x="139"/>
        <item x="64"/>
        <item x="476"/>
        <item x="46"/>
        <item x="226"/>
        <item x="418"/>
        <item x="350"/>
        <item x="486"/>
        <item x="212"/>
        <item x="314"/>
        <item x="371"/>
        <item x="137"/>
        <item x="132"/>
        <item x="477"/>
        <item x="123"/>
        <item x="2"/>
        <item x="111"/>
        <item x="487"/>
        <item x="160"/>
        <item x="17"/>
        <item x="368"/>
        <item x="130"/>
        <item x="61"/>
        <item x="116"/>
        <item x="23"/>
        <item x="22"/>
        <item x="256"/>
        <item x="38"/>
        <item x="213"/>
        <item x="80"/>
        <item x="277"/>
        <item x="457"/>
        <item x="200"/>
        <item x="122"/>
        <item x="259"/>
        <item x="496"/>
        <item x="386"/>
        <item x="167"/>
        <item x="282"/>
        <item x="185"/>
        <item x="379"/>
        <item x="439"/>
        <item x="14"/>
        <item x="21"/>
        <item x="257"/>
        <item x="195"/>
        <item x="98"/>
        <item x="320"/>
        <item x="194"/>
        <item x="337"/>
        <item x="401"/>
        <item x="84"/>
        <item x="342"/>
        <item x="105"/>
        <item x="40"/>
        <item x="426"/>
        <item x="309"/>
        <item x="65"/>
        <item x="162"/>
        <item x="90"/>
        <item x="361"/>
        <item x="370"/>
        <item x="375"/>
        <item x="261"/>
        <item x="437"/>
        <item x="63"/>
        <item x="113"/>
        <item x="267"/>
        <item x="78"/>
        <item x="33"/>
        <item x="187"/>
        <item x="255"/>
        <item x="319"/>
        <item x="407"/>
        <item x="109"/>
        <item x="485"/>
        <item x="265"/>
        <item x="360"/>
        <item x="304"/>
        <item x="59"/>
        <item x="1"/>
        <item x="453"/>
        <item x="108"/>
        <item x="34"/>
        <item x="433"/>
        <item x="88"/>
        <item x="240"/>
        <item x="339"/>
        <item x="315"/>
        <item x="286"/>
        <item x="443"/>
        <item x="86"/>
        <item x="215"/>
        <item x="398"/>
        <item x="429"/>
        <item x="93"/>
        <item x="154"/>
        <item x="326"/>
        <item x="325"/>
        <item x="335"/>
        <item x="296"/>
        <item x="174"/>
        <item x="336"/>
        <item x="62"/>
        <item x="459"/>
        <item x="129"/>
        <item x="205"/>
        <item x="272"/>
        <item x="300"/>
        <item x="345"/>
        <item x="419"/>
        <item x="24"/>
        <item x="489"/>
        <item x="151"/>
        <item x="400"/>
        <item x="198"/>
        <item x="232"/>
        <item x="141"/>
        <item x="369"/>
        <item x="191"/>
        <item x="469"/>
        <item x="106"/>
        <item x="316"/>
        <item x="410"/>
        <item x="42"/>
        <item x="233"/>
        <item x="15"/>
        <item x="285"/>
        <item x="295"/>
        <item x="334"/>
        <item x="321"/>
        <item x="230"/>
        <item x="119"/>
        <item x="421"/>
        <item x="28"/>
        <item x="138"/>
        <item x="76"/>
        <item x="393"/>
        <item x="404"/>
        <item x="72"/>
        <item x="387"/>
        <item x="288"/>
        <item x="126"/>
        <item x="462"/>
        <item x="70"/>
        <item x="446"/>
        <item x="71"/>
        <item x="220"/>
        <item x="150"/>
        <item x="455"/>
        <item x="454"/>
        <item x="441"/>
        <item x="442"/>
        <item x="349"/>
        <item x="472"/>
        <item x="51"/>
        <item x="149"/>
        <item x="11"/>
        <item x="366"/>
        <item x="31"/>
        <item x="292"/>
        <item x="192"/>
        <item x="244"/>
        <item x="81"/>
        <item x="52"/>
        <item x="18"/>
        <item x="171"/>
        <item x="385"/>
        <item x="422"/>
        <item x="199"/>
        <item x="444"/>
        <item x="251"/>
        <item x="227"/>
        <item x="208"/>
        <item x="367"/>
        <item x="66"/>
        <item x="211"/>
        <item x="406"/>
        <item x="330"/>
        <item x="97"/>
        <item x="447"/>
        <item x="498"/>
        <item x="425"/>
        <item x="110"/>
        <item x="107"/>
        <item x="381"/>
        <item x="430"/>
        <item x="374"/>
        <item x="313"/>
        <item x="235"/>
        <item x="460"/>
        <item x="92"/>
        <item x="225"/>
        <item x="450"/>
        <item x="125"/>
        <item x="193"/>
        <item x="219"/>
        <item x="183"/>
        <item x="128"/>
        <item x="41"/>
        <item x="260"/>
        <item x="169"/>
        <item x="221"/>
        <item x="5"/>
        <item x="148"/>
        <item x="411"/>
        <item x="245"/>
        <item x="114"/>
        <item x="210"/>
        <item x="275"/>
        <item x="179"/>
        <item x="146"/>
        <item x="488"/>
        <item x="305"/>
        <item x="152"/>
        <item x="492"/>
        <item x="380"/>
        <item x="103"/>
        <item x="473"/>
        <item x="271"/>
        <item x="493"/>
        <item x="284"/>
        <item x="231"/>
        <item x="354"/>
        <item x="164"/>
        <item x="189"/>
        <item x="303"/>
        <item x="403"/>
        <item x="482"/>
        <item x="9"/>
        <item x="396"/>
        <item x="238"/>
        <item x="377"/>
        <item x="47"/>
        <item x="89"/>
        <item x="414"/>
        <item x="159"/>
        <item x="324"/>
        <item x="467"/>
        <item x="112"/>
        <item x="136"/>
        <item x="118"/>
        <item x="483"/>
        <item x="415"/>
        <item x="39"/>
        <item x="413"/>
        <item x="75"/>
        <item x="79"/>
        <item x="217"/>
        <item x="99"/>
        <item x="176"/>
        <item x="207"/>
        <item x="120"/>
        <item x="395"/>
        <item x="3"/>
        <item x="104"/>
        <item x="480"/>
        <item x="353"/>
        <item x="32"/>
        <item x="423"/>
        <item x="397"/>
        <item x="209"/>
        <item x="53"/>
        <item x="172"/>
        <item x="274"/>
        <item x="67"/>
        <item x="184"/>
        <item x="273"/>
        <item x="340"/>
        <item x="73"/>
        <item x="301"/>
        <item x="45"/>
        <item x="95"/>
        <item x="299"/>
        <item x="268"/>
        <item x="239"/>
        <item x="249"/>
        <item x="470"/>
        <item x="270"/>
        <item x="440"/>
        <item x="378"/>
        <item x="481"/>
        <item x="322"/>
        <item x="57"/>
        <item x="328"/>
        <item x="237"/>
        <item x="44"/>
        <item x="74"/>
        <item x="258"/>
        <item x="25"/>
        <item x="420"/>
        <item x="19"/>
        <item x="392"/>
        <item x="197"/>
        <item x="43"/>
        <item x="175"/>
        <item x="170"/>
        <item x="50"/>
        <item x="464"/>
        <item x="291"/>
        <item x="69"/>
        <item x="383"/>
        <item x="29"/>
        <item x="461"/>
        <item x="372"/>
        <item x="60"/>
        <item x="140"/>
        <item x="253"/>
        <item x="121"/>
        <item x="228"/>
        <item x="297"/>
        <item x="389"/>
        <item x="56"/>
        <item x="352"/>
        <item x="77"/>
        <item x="384"/>
        <item x="246"/>
        <item x="250"/>
        <item x="333"/>
        <item x="10"/>
        <item x="362"/>
        <item x="290"/>
        <item x="16"/>
        <item x="115"/>
        <item x="144"/>
        <item x="117"/>
        <item x="49"/>
        <item x="409"/>
        <item x="266"/>
        <item x="155"/>
        <item x="177"/>
        <item x="497"/>
        <item x="323"/>
        <item x="298"/>
        <item x="491"/>
        <item x="417"/>
        <item x="82"/>
        <item x="294"/>
        <item x="242"/>
        <item x="100"/>
        <item x="463"/>
        <item x="438"/>
        <item x="376"/>
        <item x="458"/>
        <item t="default"/>
      </items>
    </pivotField>
    <pivotField showAll="0"/>
    <pivotField showAll="0"/>
    <pivotField showAll="0"/>
    <pivotField showAll="0"/>
    <pivotField showAll="0"/>
    <pivotField showAll="0"/>
    <pivotField showAll="0"/>
    <pivotField showAll="0"/>
    <pivotField axis="axisRow" showAll="0">
      <items count="8">
        <item x="6"/>
        <item x="1"/>
        <item x="5"/>
        <item x="3"/>
        <item x="2"/>
        <item x="4"/>
        <item x="0"/>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0"/>
  </rowFields>
  <rowItems count="8">
    <i>
      <x/>
    </i>
    <i>
      <x v="1"/>
    </i>
    <i>
      <x v="2"/>
    </i>
    <i>
      <x v="3"/>
    </i>
    <i>
      <x v="4"/>
    </i>
    <i>
      <x v="5"/>
    </i>
    <i>
      <x v="6"/>
    </i>
    <i t="grand">
      <x/>
    </i>
  </rowItems>
  <colItems count="1">
    <i/>
  </colItems>
  <dataFields count="1">
    <dataField name="Count of ticket_i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3DAAC8B-4222-4BCB-9564-84B2FAD9001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8:C106" firstHeaderRow="0" firstDataRow="1" firstDataCol="1"/>
  <pivotFields count="14">
    <pivotField showAll="0"/>
    <pivotField numFmtId="22" showAll="0">
      <items count="501">
        <item x="312"/>
        <item x="306"/>
        <item x="87"/>
        <item x="54"/>
        <item x="201"/>
        <item x="499"/>
        <item x="224"/>
        <item x="329"/>
        <item x="143"/>
        <item x="474"/>
        <item x="134"/>
        <item x="373"/>
        <item x="317"/>
        <item x="311"/>
        <item x="8"/>
        <item x="478"/>
        <item x="37"/>
        <item x="166"/>
        <item x="254"/>
        <item x="347"/>
        <item x="35"/>
        <item x="484"/>
        <item x="475"/>
        <item x="102"/>
        <item x="229"/>
        <item x="147"/>
        <item x="13"/>
        <item x="30"/>
        <item x="348"/>
        <item x="331"/>
        <item x="280"/>
        <item x="332"/>
        <item x="163"/>
        <item x="402"/>
        <item x="490"/>
        <item x="161"/>
        <item x="206"/>
        <item x="479"/>
        <item x="94"/>
        <item x="405"/>
        <item x="344"/>
        <item x="236"/>
        <item x="359"/>
        <item x="241"/>
        <item x="264"/>
        <item x="182"/>
        <item x="36"/>
        <item x="283"/>
        <item x="338"/>
        <item x="346"/>
        <item x="7"/>
        <item x="278"/>
        <item x="327"/>
        <item x="190"/>
        <item x="83"/>
        <item x="131"/>
        <item x="276"/>
        <item x="365"/>
        <item x="12"/>
        <item x="165"/>
        <item x="435"/>
        <item x="153"/>
        <item x="424"/>
        <item x="465"/>
        <item x="173"/>
        <item x="466"/>
        <item x="180"/>
        <item x="145"/>
        <item x="186"/>
        <item x="452"/>
        <item x="428"/>
        <item x="55"/>
        <item x="91"/>
        <item x="445"/>
        <item x="127"/>
        <item x="204"/>
        <item x="432"/>
        <item x="262"/>
        <item x="20"/>
        <item x="58"/>
        <item x="351"/>
        <item x="310"/>
        <item x="252"/>
        <item x="168"/>
        <item x="358"/>
        <item x="247"/>
        <item x="214"/>
        <item x="343"/>
        <item x="202"/>
        <item x="142"/>
        <item x="68"/>
        <item x="399"/>
        <item x="248"/>
        <item x="390"/>
        <item x="263"/>
        <item x="495"/>
        <item x="243"/>
        <item x="293"/>
        <item x="382"/>
        <item x="156"/>
        <item x="307"/>
        <item x="363"/>
        <item x="308"/>
        <item x="356"/>
        <item x="471"/>
        <item x="96"/>
        <item x="124"/>
        <item x="412"/>
        <item x="6"/>
        <item x="448"/>
        <item x="27"/>
        <item x="318"/>
        <item x="434"/>
        <item x="48"/>
        <item x="391"/>
        <item x="101"/>
        <item x="269"/>
        <item x="218"/>
        <item x="431"/>
        <item x="289"/>
        <item x="178"/>
        <item x="281"/>
        <item x="449"/>
        <item x="388"/>
        <item x="451"/>
        <item x="188"/>
        <item x="4"/>
        <item x="364"/>
        <item x="416"/>
        <item x="494"/>
        <item x="0"/>
        <item x="223"/>
        <item x="26"/>
        <item x="355"/>
        <item x="181"/>
        <item x="357"/>
        <item x="427"/>
        <item x="394"/>
        <item x="456"/>
        <item x="85"/>
        <item x="158"/>
        <item x="203"/>
        <item x="216"/>
        <item x="222"/>
        <item x="157"/>
        <item x="302"/>
        <item x="133"/>
        <item x="468"/>
        <item x="287"/>
        <item x="436"/>
        <item x="135"/>
        <item x="279"/>
        <item x="234"/>
        <item x="408"/>
        <item x="196"/>
        <item x="341"/>
        <item x="139"/>
        <item x="64"/>
        <item x="476"/>
        <item x="46"/>
        <item x="226"/>
        <item x="418"/>
        <item x="350"/>
        <item x="486"/>
        <item x="212"/>
        <item x="314"/>
        <item x="371"/>
        <item x="137"/>
        <item x="132"/>
        <item x="477"/>
        <item x="123"/>
        <item x="2"/>
        <item x="111"/>
        <item x="487"/>
        <item x="160"/>
        <item x="17"/>
        <item x="368"/>
        <item x="130"/>
        <item x="61"/>
        <item x="116"/>
        <item x="23"/>
        <item x="22"/>
        <item x="256"/>
        <item x="38"/>
        <item x="213"/>
        <item x="80"/>
        <item x="277"/>
        <item x="457"/>
        <item x="200"/>
        <item x="122"/>
        <item x="259"/>
        <item x="496"/>
        <item x="386"/>
        <item x="167"/>
        <item x="282"/>
        <item x="185"/>
        <item x="379"/>
        <item x="439"/>
        <item x="14"/>
        <item x="21"/>
        <item x="257"/>
        <item x="195"/>
        <item x="98"/>
        <item x="320"/>
        <item x="194"/>
        <item x="337"/>
        <item x="401"/>
        <item x="84"/>
        <item x="342"/>
        <item x="105"/>
        <item x="40"/>
        <item x="426"/>
        <item x="309"/>
        <item x="65"/>
        <item x="162"/>
        <item x="90"/>
        <item x="361"/>
        <item x="370"/>
        <item x="375"/>
        <item x="261"/>
        <item x="437"/>
        <item x="63"/>
        <item x="113"/>
        <item x="267"/>
        <item x="78"/>
        <item x="33"/>
        <item x="187"/>
        <item x="255"/>
        <item x="319"/>
        <item x="407"/>
        <item x="109"/>
        <item x="485"/>
        <item x="265"/>
        <item x="360"/>
        <item x="304"/>
        <item x="59"/>
        <item x="1"/>
        <item x="453"/>
        <item x="108"/>
        <item x="34"/>
        <item x="433"/>
        <item x="88"/>
        <item x="240"/>
        <item x="339"/>
        <item x="315"/>
        <item x="286"/>
        <item x="443"/>
        <item x="86"/>
        <item x="215"/>
        <item x="398"/>
        <item x="429"/>
        <item x="93"/>
        <item x="154"/>
        <item x="326"/>
        <item x="325"/>
        <item x="335"/>
        <item x="296"/>
        <item x="174"/>
        <item x="336"/>
        <item x="62"/>
        <item x="459"/>
        <item x="129"/>
        <item x="205"/>
        <item x="272"/>
        <item x="300"/>
        <item x="345"/>
        <item x="419"/>
        <item x="24"/>
        <item x="489"/>
        <item x="151"/>
        <item x="400"/>
        <item x="198"/>
        <item x="232"/>
        <item x="141"/>
        <item x="369"/>
        <item x="191"/>
        <item x="469"/>
        <item x="106"/>
        <item x="316"/>
        <item x="410"/>
        <item x="42"/>
        <item x="233"/>
        <item x="15"/>
        <item x="285"/>
        <item x="295"/>
        <item x="334"/>
        <item x="321"/>
        <item x="230"/>
        <item x="119"/>
        <item x="421"/>
        <item x="28"/>
        <item x="138"/>
        <item x="76"/>
        <item x="393"/>
        <item x="404"/>
        <item x="72"/>
        <item x="387"/>
        <item x="288"/>
        <item x="126"/>
        <item x="462"/>
        <item x="70"/>
        <item x="446"/>
        <item x="71"/>
        <item x="220"/>
        <item x="150"/>
        <item x="455"/>
        <item x="454"/>
        <item x="441"/>
        <item x="442"/>
        <item x="349"/>
        <item x="472"/>
        <item x="51"/>
        <item x="149"/>
        <item x="11"/>
        <item x="366"/>
        <item x="31"/>
        <item x="292"/>
        <item x="192"/>
        <item x="244"/>
        <item x="81"/>
        <item x="52"/>
        <item x="18"/>
        <item x="171"/>
        <item x="385"/>
        <item x="422"/>
        <item x="199"/>
        <item x="444"/>
        <item x="251"/>
        <item x="227"/>
        <item x="208"/>
        <item x="367"/>
        <item x="66"/>
        <item x="211"/>
        <item x="406"/>
        <item x="330"/>
        <item x="97"/>
        <item x="447"/>
        <item x="498"/>
        <item x="425"/>
        <item x="110"/>
        <item x="107"/>
        <item x="381"/>
        <item x="430"/>
        <item x="374"/>
        <item x="313"/>
        <item x="235"/>
        <item x="460"/>
        <item x="92"/>
        <item x="225"/>
        <item x="450"/>
        <item x="125"/>
        <item x="193"/>
        <item x="219"/>
        <item x="183"/>
        <item x="128"/>
        <item x="41"/>
        <item x="260"/>
        <item x="169"/>
        <item x="221"/>
        <item x="5"/>
        <item x="148"/>
        <item x="411"/>
        <item x="245"/>
        <item x="114"/>
        <item x="210"/>
        <item x="275"/>
        <item x="179"/>
        <item x="146"/>
        <item x="488"/>
        <item x="305"/>
        <item x="152"/>
        <item x="492"/>
        <item x="380"/>
        <item x="103"/>
        <item x="473"/>
        <item x="271"/>
        <item x="493"/>
        <item x="284"/>
        <item x="231"/>
        <item x="354"/>
        <item x="164"/>
        <item x="189"/>
        <item x="303"/>
        <item x="403"/>
        <item x="482"/>
        <item x="9"/>
        <item x="396"/>
        <item x="238"/>
        <item x="377"/>
        <item x="47"/>
        <item x="89"/>
        <item x="414"/>
        <item x="159"/>
        <item x="324"/>
        <item x="467"/>
        <item x="112"/>
        <item x="136"/>
        <item x="118"/>
        <item x="483"/>
        <item x="415"/>
        <item x="39"/>
        <item x="413"/>
        <item x="75"/>
        <item x="79"/>
        <item x="217"/>
        <item x="99"/>
        <item x="176"/>
        <item x="207"/>
        <item x="120"/>
        <item x="395"/>
        <item x="3"/>
        <item x="104"/>
        <item x="480"/>
        <item x="353"/>
        <item x="32"/>
        <item x="423"/>
        <item x="397"/>
        <item x="209"/>
        <item x="53"/>
        <item x="172"/>
        <item x="274"/>
        <item x="67"/>
        <item x="184"/>
        <item x="273"/>
        <item x="340"/>
        <item x="73"/>
        <item x="301"/>
        <item x="45"/>
        <item x="95"/>
        <item x="299"/>
        <item x="268"/>
        <item x="239"/>
        <item x="249"/>
        <item x="470"/>
        <item x="270"/>
        <item x="440"/>
        <item x="378"/>
        <item x="481"/>
        <item x="322"/>
        <item x="57"/>
        <item x="328"/>
        <item x="237"/>
        <item x="44"/>
        <item x="74"/>
        <item x="258"/>
        <item x="25"/>
        <item x="420"/>
        <item x="19"/>
        <item x="392"/>
        <item x="197"/>
        <item x="43"/>
        <item x="175"/>
        <item x="170"/>
        <item x="50"/>
        <item x="464"/>
        <item x="291"/>
        <item x="69"/>
        <item x="383"/>
        <item x="29"/>
        <item x="461"/>
        <item x="372"/>
        <item x="60"/>
        <item x="140"/>
        <item x="253"/>
        <item x="121"/>
        <item x="228"/>
        <item x="297"/>
        <item x="389"/>
        <item x="56"/>
        <item x="352"/>
        <item x="77"/>
        <item x="384"/>
        <item x="246"/>
        <item x="250"/>
        <item x="333"/>
        <item x="10"/>
        <item x="362"/>
        <item x="290"/>
        <item x="16"/>
        <item x="115"/>
        <item x="144"/>
        <item x="117"/>
        <item x="49"/>
        <item x="409"/>
        <item x="266"/>
        <item x="155"/>
        <item x="177"/>
        <item x="497"/>
        <item x="323"/>
        <item x="298"/>
        <item x="491"/>
        <item x="417"/>
        <item x="82"/>
        <item x="294"/>
        <item x="242"/>
        <item x="100"/>
        <item x="463"/>
        <item x="438"/>
        <item x="376"/>
        <item x="458"/>
        <item t="default"/>
      </items>
    </pivotField>
    <pivotField showAll="0"/>
    <pivotField showAll="0"/>
    <pivotField showAll="0"/>
    <pivotField showAll="0"/>
    <pivotField showAll="0"/>
    <pivotField showAll="0"/>
    <pivotField dataField="1" showAll="0"/>
    <pivotField dataField="1" showAll="0"/>
    <pivotField axis="axisRow" showAll="0">
      <items count="8">
        <item x="6"/>
        <item x="1"/>
        <item x="5"/>
        <item x="3"/>
        <item x="2"/>
        <item x="4"/>
        <item x="0"/>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0"/>
  </rowFields>
  <rowItems count="8">
    <i>
      <x/>
    </i>
    <i>
      <x v="1"/>
    </i>
    <i>
      <x v="2"/>
    </i>
    <i>
      <x v="3"/>
    </i>
    <i>
      <x v="4"/>
    </i>
    <i>
      <x v="5"/>
    </i>
    <i>
      <x v="6"/>
    </i>
    <i t="grand">
      <x/>
    </i>
  </rowItems>
  <colFields count="1">
    <field x="-2"/>
  </colFields>
  <colItems count="2">
    <i>
      <x/>
    </i>
    <i i="1">
      <x v="1"/>
    </i>
  </colItems>
  <dataFields count="2">
    <dataField name="Average of resolution_time_hours" fld="8" subtotal="average" baseField="10" baseItem="0"/>
    <dataField name="Average of customer_satisfaction" fld="9" subtotal="average" baseField="1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AA45128-DABA-4735-8D70-29431AC4CDD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77:B85" firstHeaderRow="1" firstDataRow="1" firstDataCol="1"/>
  <pivotFields count="14">
    <pivotField showAll="0"/>
    <pivotField numFmtId="22" showAll="0">
      <items count="501">
        <item x="312"/>
        <item x="306"/>
        <item x="87"/>
        <item x="54"/>
        <item x="201"/>
        <item x="499"/>
        <item x="224"/>
        <item x="329"/>
        <item x="143"/>
        <item x="474"/>
        <item x="134"/>
        <item x="373"/>
        <item x="317"/>
        <item x="311"/>
        <item x="8"/>
        <item x="478"/>
        <item x="37"/>
        <item x="166"/>
        <item x="254"/>
        <item x="347"/>
        <item x="35"/>
        <item x="484"/>
        <item x="475"/>
        <item x="102"/>
        <item x="229"/>
        <item x="147"/>
        <item x="13"/>
        <item x="30"/>
        <item x="348"/>
        <item x="331"/>
        <item x="280"/>
        <item x="332"/>
        <item x="163"/>
        <item x="402"/>
        <item x="490"/>
        <item x="161"/>
        <item x="206"/>
        <item x="479"/>
        <item x="94"/>
        <item x="405"/>
        <item x="344"/>
        <item x="236"/>
        <item x="359"/>
        <item x="241"/>
        <item x="264"/>
        <item x="182"/>
        <item x="36"/>
        <item x="283"/>
        <item x="338"/>
        <item x="346"/>
        <item x="7"/>
        <item x="278"/>
        <item x="327"/>
        <item x="190"/>
        <item x="83"/>
        <item x="131"/>
        <item x="276"/>
        <item x="365"/>
        <item x="12"/>
        <item x="165"/>
        <item x="435"/>
        <item x="153"/>
        <item x="424"/>
        <item x="465"/>
        <item x="173"/>
        <item x="466"/>
        <item x="180"/>
        <item x="145"/>
        <item x="186"/>
        <item x="452"/>
        <item x="428"/>
        <item x="55"/>
        <item x="91"/>
        <item x="445"/>
        <item x="127"/>
        <item x="204"/>
        <item x="432"/>
        <item x="262"/>
        <item x="20"/>
        <item x="58"/>
        <item x="351"/>
        <item x="310"/>
        <item x="252"/>
        <item x="168"/>
        <item x="358"/>
        <item x="247"/>
        <item x="214"/>
        <item x="343"/>
        <item x="202"/>
        <item x="142"/>
        <item x="68"/>
        <item x="399"/>
        <item x="248"/>
        <item x="390"/>
        <item x="263"/>
        <item x="495"/>
        <item x="243"/>
        <item x="293"/>
        <item x="382"/>
        <item x="156"/>
        <item x="307"/>
        <item x="363"/>
        <item x="308"/>
        <item x="356"/>
        <item x="471"/>
        <item x="96"/>
        <item x="124"/>
        <item x="412"/>
        <item x="6"/>
        <item x="448"/>
        <item x="27"/>
        <item x="318"/>
        <item x="434"/>
        <item x="48"/>
        <item x="391"/>
        <item x="101"/>
        <item x="269"/>
        <item x="218"/>
        <item x="431"/>
        <item x="289"/>
        <item x="178"/>
        <item x="281"/>
        <item x="449"/>
        <item x="388"/>
        <item x="451"/>
        <item x="188"/>
        <item x="4"/>
        <item x="364"/>
        <item x="416"/>
        <item x="494"/>
        <item x="0"/>
        <item x="223"/>
        <item x="26"/>
        <item x="355"/>
        <item x="181"/>
        <item x="357"/>
        <item x="427"/>
        <item x="394"/>
        <item x="456"/>
        <item x="85"/>
        <item x="158"/>
        <item x="203"/>
        <item x="216"/>
        <item x="222"/>
        <item x="157"/>
        <item x="302"/>
        <item x="133"/>
        <item x="468"/>
        <item x="287"/>
        <item x="436"/>
        <item x="135"/>
        <item x="279"/>
        <item x="234"/>
        <item x="408"/>
        <item x="196"/>
        <item x="341"/>
        <item x="139"/>
        <item x="64"/>
        <item x="476"/>
        <item x="46"/>
        <item x="226"/>
        <item x="418"/>
        <item x="350"/>
        <item x="486"/>
        <item x="212"/>
        <item x="314"/>
        <item x="371"/>
        <item x="137"/>
        <item x="132"/>
        <item x="477"/>
        <item x="123"/>
        <item x="2"/>
        <item x="111"/>
        <item x="487"/>
        <item x="160"/>
        <item x="17"/>
        <item x="368"/>
        <item x="130"/>
        <item x="61"/>
        <item x="116"/>
        <item x="23"/>
        <item x="22"/>
        <item x="256"/>
        <item x="38"/>
        <item x="213"/>
        <item x="80"/>
        <item x="277"/>
        <item x="457"/>
        <item x="200"/>
        <item x="122"/>
        <item x="259"/>
        <item x="496"/>
        <item x="386"/>
        <item x="167"/>
        <item x="282"/>
        <item x="185"/>
        <item x="379"/>
        <item x="439"/>
        <item x="14"/>
        <item x="21"/>
        <item x="257"/>
        <item x="195"/>
        <item x="98"/>
        <item x="320"/>
        <item x="194"/>
        <item x="337"/>
        <item x="401"/>
        <item x="84"/>
        <item x="342"/>
        <item x="105"/>
        <item x="40"/>
        <item x="426"/>
        <item x="309"/>
        <item x="65"/>
        <item x="162"/>
        <item x="90"/>
        <item x="361"/>
        <item x="370"/>
        <item x="375"/>
        <item x="261"/>
        <item x="437"/>
        <item x="63"/>
        <item x="113"/>
        <item x="267"/>
        <item x="78"/>
        <item x="33"/>
        <item x="187"/>
        <item x="255"/>
        <item x="319"/>
        <item x="407"/>
        <item x="109"/>
        <item x="485"/>
        <item x="265"/>
        <item x="360"/>
        <item x="304"/>
        <item x="59"/>
        <item x="1"/>
        <item x="453"/>
        <item x="108"/>
        <item x="34"/>
        <item x="433"/>
        <item x="88"/>
        <item x="240"/>
        <item x="339"/>
        <item x="315"/>
        <item x="286"/>
        <item x="443"/>
        <item x="86"/>
        <item x="215"/>
        <item x="398"/>
        <item x="429"/>
        <item x="93"/>
        <item x="154"/>
        <item x="326"/>
        <item x="325"/>
        <item x="335"/>
        <item x="296"/>
        <item x="174"/>
        <item x="336"/>
        <item x="62"/>
        <item x="459"/>
        <item x="129"/>
        <item x="205"/>
        <item x="272"/>
        <item x="300"/>
        <item x="345"/>
        <item x="419"/>
        <item x="24"/>
        <item x="489"/>
        <item x="151"/>
        <item x="400"/>
        <item x="198"/>
        <item x="232"/>
        <item x="141"/>
        <item x="369"/>
        <item x="191"/>
        <item x="469"/>
        <item x="106"/>
        <item x="316"/>
        <item x="410"/>
        <item x="42"/>
        <item x="233"/>
        <item x="15"/>
        <item x="285"/>
        <item x="295"/>
        <item x="334"/>
        <item x="321"/>
        <item x="230"/>
        <item x="119"/>
        <item x="421"/>
        <item x="28"/>
        <item x="138"/>
        <item x="76"/>
        <item x="393"/>
        <item x="404"/>
        <item x="72"/>
        <item x="387"/>
        <item x="288"/>
        <item x="126"/>
        <item x="462"/>
        <item x="70"/>
        <item x="446"/>
        <item x="71"/>
        <item x="220"/>
        <item x="150"/>
        <item x="455"/>
        <item x="454"/>
        <item x="441"/>
        <item x="442"/>
        <item x="349"/>
        <item x="472"/>
        <item x="51"/>
        <item x="149"/>
        <item x="11"/>
        <item x="366"/>
        <item x="31"/>
        <item x="292"/>
        <item x="192"/>
        <item x="244"/>
        <item x="81"/>
        <item x="52"/>
        <item x="18"/>
        <item x="171"/>
        <item x="385"/>
        <item x="422"/>
        <item x="199"/>
        <item x="444"/>
        <item x="251"/>
        <item x="227"/>
        <item x="208"/>
        <item x="367"/>
        <item x="66"/>
        <item x="211"/>
        <item x="406"/>
        <item x="330"/>
        <item x="97"/>
        <item x="447"/>
        <item x="498"/>
        <item x="425"/>
        <item x="110"/>
        <item x="107"/>
        <item x="381"/>
        <item x="430"/>
        <item x="374"/>
        <item x="313"/>
        <item x="235"/>
        <item x="460"/>
        <item x="92"/>
        <item x="225"/>
        <item x="450"/>
        <item x="125"/>
        <item x="193"/>
        <item x="219"/>
        <item x="183"/>
        <item x="128"/>
        <item x="41"/>
        <item x="260"/>
        <item x="169"/>
        <item x="221"/>
        <item x="5"/>
        <item x="148"/>
        <item x="411"/>
        <item x="245"/>
        <item x="114"/>
        <item x="210"/>
        <item x="275"/>
        <item x="179"/>
        <item x="146"/>
        <item x="488"/>
        <item x="305"/>
        <item x="152"/>
        <item x="492"/>
        <item x="380"/>
        <item x="103"/>
        <item x="473"/>
        <item x="271"/>
        <item x="493"/>
        <item x="284"/>
        <item x="231"/>
        <item x="354"/>
        <item x="164"/>
        <item x="189"/>
        <item x="303"/>
        <item x="403"/>
        <item x="482"/>
        <item x="9"/>
        <item x="396"/>
        <item x="238"/>
        <item x="377"/>
        <item x="47"/>
        <item x="89"/>
        <item x="414"/>
        <item x="159"/>
        <item x="324"/>
        <item x="467"/>
        <item x="112"/>
        <item x="136"/>
        <item x="118"/>
        <item x="483"/>
        <item x="415"/>
        <item x="39"/>
        <item x="413"/>
        <item x="75"/>
        <item x="79"/>
        <item x="217"/>
        <item x="99"/>
        <item x="176"/>
        <item x="207"/>
        <item x="120"/>
        <item x="395"/>
        <item x="3"/>
        <item x="104"/>
        <item x="480"/>
        <item x="353"/>
        <item x="32"/>
        <item x="423"/>
        <item x="397"/>
        <item x="209"/>
        <item x="53"/>
        <item x="172"/>
        <item x="274"/>
        <item x="67"/>
        <item x="184"/>
        <item x="273"/>
        <item x="340"/>
        <item x="73"/>
        <item x="301"/>
        <item x="45"/>
        <item x="95"/>
        <item x="299"/>
        <item x="268"/>
        <item x="239"/>
        <item x="249"/>
        <item x="470"/>
        <item x="270"/>
        <item x="440"/>
        <item x="378"/>
        <item x="481"/>
        <item x="322"/>
        <item x="57"/>
        <item x="328"/>
        <item x="237"/>
        <item x="44"/>
        <item x="74"/>
        <item x="258"/>
        <item x="25"/>
        <item x="420"/>
        <item x="19"/>
        <item x="392"/>
        <item x="197"/>
        <item x="43"/>
        <item x="175"/>
        <item x="170"/>
        <item x="50"/>
        <item x="464"/>
        <item x="291"/>
        <item x="69"/>
        <item x="383"/>
        <item x="29"/>
        <item x="461"/>
        <item x="372"/>
        <item x="60"/>
        <item x="140"/>
        <item x="253"/>
        <item x="121"/>
        <item x="228"/>
        <item x="297"/>
        <item x="389"/>
        <item x="56"/>
        <item x="352"/>
        <item x="77"/>
        <item x="384"/>
        <item x="246"/>
        <item x="250"/>
        <item x="333"/>
        <item x="10"/>
        <item x="362"/>
        <item x="290"/>
        <item x="16"/>
        <item x="115"/>
        <item x="144"/>
        <item x="117"/>
        <item x="49"/>
        <item x="409"/>
        <item x="266"/>
        <item x="155"/>
        <item x="177"/>
        <item x="497"/>
        <item x="323"/>
        <item x="298"/>
        <item x="491"/>
        <item x="417"/>
        <item x="82"/>
        <item x="294"/>
        <item x="242"/>
        <item x="100"/>
        <item x="463"/>
        <item x="438"/>
        <item x="376"/>
        <item x="458"/>
        <item t="default"/>
      </items>
    </pivotField>
    <pivotField showAll="0"/>
    <pivotField showAll="0"/>
    <pivotField showAll="0"/>
    <pivotField showAll="0"/>
    <pivotField showAll="0"/>
    <pivotField showAll="0"/>
    <pivotField showAll="0"/>
    <pivotField dataField="1" showAll="0"/>
    <pivotField axis="axisRow" showAll="0">
      <items count="8">
        <item x="6"/>
        <item x="1"/>
        <item x="5"/>
        <item x="3"/>
        <item x="2"/>
        <item x="4"/>
        <item x="0"/>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0"/>
  </rowFields>
  <rowItems count="8">
    <i>
      <x/>
    </i>
    <i>
      <x v="1"/>
    </i>
    <i>
      <x v="2"/>
    </i>
    <i>
      <x v="3"/>
    </i>
    <i>
      <x v="4"/>
    </i>
    <i>
      <x v="5"/>
    </i>
    <i>
      <x v="6"/>
    </i>
    <i t="grand">
      <x/>
    </i>
  </rowItems>
  <colItems count="1">
    <i/>
  </colItems>
  <dataFields count="1">
    <dataField name="Average of customer_satisfaction" fld="9" subtotal="average" baseField="1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3921BD5-6817-4246-A175-44E41B1B6B2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53:B60" firstHeaderRow="1" firstDataRow="1" firstDataCol="1"/>
  <pivotFields count="14">
    <pivotField showAll="0"/>
    <pivotField numFmtId="22" showAll="0">
      <items count="501">
        <item x="312"/>
        <item x="306"/>
        <item x="87"/>
        <item x="54"/>
        <item x="201"/>
        <item x="499"/>
        <item x="224"/>
        <item x="329"/>
        <item x="143"/>
        <item x="474"/>
        <item x="134"/>
        <item x="373"/>
        <item x="317"/>
        <item x="311"/>
        <item x="8"/>
        <item x="478"/>
        <item x="37"/>
        <item x="166"/>
        <item x="254"/>
        <item x="347"/>
        <item x="35"/>
        <item x="484"/>
        <item x="475"/>
        <item x="102"/>
        <item x="229"/>
        <item x="147"/>
        <item x="13"/>
        <item x="30"/>
        <item x="348"/>
        <item x="331"/>
        <item x="280"/>
        <item x="332"/>
        <item x="163"/>
        <item x="402"/>
        <item x="490"/>
        <item x="161"/>
        <item x="206"/>
        <item x="479"/>
        <item x="94"/>
        <item x="405"/>
        <item x="344"/>
        <item x="236"/>
        <item x="359"/>
        <item x="241"/>
        <item x="264"/>
        <item x="182"/>
        <item x="36"/>
        <item x="283"/>
        <item x="338"/>
        <item x="346"/>
        <item x="7"/>
        <item x="278"/>
        <item x="327"/>
        <item x="190"/>
        <item x="83"/>
        <item x="131"/>
        <item x="276"/>
        <item x="365"/>
        <item x="12"/>
        <item x="165"/>
        <item x="435"/>
        <item x="153"/>
        <item x="424"/>
        <item x="465"/>
        <item x="173"/>
        <item x="466"/>
        <item x="180"/>
        <item x="145"/>
        <item x="186"/>
        <item x="452"/>
        <item x="428"/>
        <item x="55"/>
        <item x="91"/>
        <item x="445"/>
        <item x="127"/>
        <item x="204"/>
        <item x="432"/>
        <item x="262"/>
        <item x="20"/>
        <item x="58"/>
        <item x="351"/>
        <item x="310"/>
        <item x="252"/>
        <item x="168"/>
        <item x="358"/>
        <item x="247"/>
        <item x="214"/>
        <item x="343"/>
        <item x="202"/>
        <item x="142"/>
        <item x="68"/>
        <item x="399"/>
        <item x="248"/>
        <item x="390"/>
        <item x="263"/>
        <item x="495"/>
        <item x="243"/>
        <item x="293"/>
        <item x="382"/>
        <item x="156"/>
        <item x="307"/>
        <item x="363"/>
        <item x="308"/>
        <item x="356"/>
        <item x="471"/>
        <item x="96"/>
        <item x="124"/>
        <item x="412"/>
        <item x="6"/>
        <item x="448"/>
        <item x="27"/>
        <item x="318"/>
        <item x="434"/>
        <item x="48"/>
        <item x="391"/>
        <item x="101"/>
        <item x="269"/>
        <item x="218"/>
        <item x="431"/>
        <item x="289"/>
        <item x="178"/>
        <item x="281"/>
        <item x="449"/>
        <item x="388"/>
        <item x="451"/>
        <item x="188"/>
        <item x="4"/>
        <item x="364"/>
        <item x="416"/>
        <item x="494"/>
        <item x="0"/>
        <item x="223"/>
        <item x="26"/>
        <item x="355"/>
        <item x="181"/>
        <item x="357"/>
        <item x="427"/>
        <item x="394"/>
        <item x="456"/>
        <item x="85"/>
        <item x="158"/>
        <item x="203"/>
        <item x="216"/>
        <item x="222"/>
        <item x="157"/>
        <item x="302"/>
        <item x="133"/>
        <item x="468"/>
        <item x="287"/>
        <item x="436"/>
        <item x="135"/>
        <item x="279"/>
        <item x="234"/>
        <item x="408"/>
        <item x="196"/>
        <item x="341"/>
        <item x="139"/>
        <item x="64"/>
        <item x="476"/>
        <item x="46"/>
        <item x="226"/>
        <item x="418"/>
        <item x="350"/>
        <item x="486"/>
        <item x="212"/>
        <item x="314"/>
        <item x="371"/>
        <item x="137"/>
        <item x="132"/>
        <item x="477"/>
        <item x="123"/>
        <item x="2"/>
        <item x="111"/>
        <item x="487"/>
        <item x="160"/>
        <item x="17"/>
        <item x="368"/>
        <item x="130"/>
        <item x="61"/>
        <item x="116"/>
        <item x="23"/>
        <item x="22"/>
        <item x="256"/>
        <item x="38"/>
        <item x="213"/>
        <item x="80"/>
        <item x="277"/>
        <item x="457"/>
        <item x="200"/>
        <item x="122"/>
        <item x="259"/>
        <item x="496"/>
        <item x="386"/>
        <item x="167"/>
        <item x="282"/>
        <item x="185"/>
        <item x="379"/>
        <item x="439"/>
        <item x="14"/>
        <item x="21"/>
        <item x="257"/>
        <item x="195"/>
        <item x="98"/>
        <item x="320"/>
        <item x="194"/>
        <item x="337"/>
        <item x="401"/>
        <item x="84"/>
        <item x="342"/>
        <item x="105"/>
        <item x="40"/>
        <item x="426"/>
        <item x="309"/>
        <item x="65"/>
        <item x="162"/>
        <item x="90"/>
        <item x="361"/>
        <item x="370"/>
        <item x="375"/>
        <item x="261"/>
        <item x="437"/>
        <item x="63"/>
        <item x="113"/>
        <item x="267"/>
        <item x="78"/>
        <item x="33"/>
        <item x="187"/>
        <item x="255"/>
        <item x="319"/>
        <item x="407"/>
        <item x="109"/>
        <item x="485"/>
        <item x="265"/>
        <item x="360"/>
        <item x="304"/>
        <item x="59"/>
        <item x="1"/>
        <item x="453"/>
        <item x="108"/>
        <item x="34"/>
        <item x="433"/>
        <item x="88"/>
        <item x="240"/>
        <item x="339"/>
        <item x="315"/>
        <item x="286"/>
        <item x="443"/>
        <item x="86"/>
        <item x="215"/>
        <item x="398"/>
        <item x="429"/>
        <item x="93"/>
        <item x="154"/>
        <item x="326"/>
        <item x="325"/>
        <item x="335"/>
        <item x="296"/>
        <item x="174"/>
        <item x="336"/>
        <item x="62"/>
        <item x="459"/>
        <item x="129"/>
        <item x="205"/>
        <item x="272"/>
        <item x="300"/>
        <item x="345"/>
        <item x="419"/>
        <item x="24"/>
        <item x="489"/>
        <item x="151"/>
        <item x="400"/>
        <item x="198"/>
        <item x="232"/>
        <item x="141"/>
        <item x="369"/>
        <item x="191"/>
        <item x="469"/>
        <item x="106"/>
        <item x="316"/>
        <item x="410"/>
        <item x="42"/>
        <item x="233"/>
        <item x="15"/>
        <item x="285"/>
        <item x="295"/>
        <item x="334"/>
        <item x="321"/>
        <item x="230"/>
        <item x="119"/>
        <item x="421"/>
        <item x="28"/>
        <item x="138"/>
        <item x="76"/>
        <item x="393"/>
        <item x="404"/>
        <item x="72"/>
        <item x="387"/>
        <item x="288"/>
        <item x="126"/>
        <item x="462"/>
        <item x="70"/>
        <item x="446"/>
        <item x="71"/>
        <item x="220"/>
        <item x="150"/>
        <item x="455"/>
        <item x="454"/>
        <item x="441"/>
        <item x="442"/>
        <item x="349"/>
        <item x="472"/>
        <item x="51"/>
        <item x="149"/>
        <item x="11"/>
        <item x="366"/>
        <item x="31"/>
        <item x="292"/>
        <item x="192"/>
        <item x="244"/>
        <item x="81"/>
        <item x="52"/>
        <item x="18"/>
        <item x="171"/>
        <item x="385"/>
        <item x="422"/>
        <item x="199"/>
        <item x="444"/>
        <item x="251"/>
        <item x="227"/>
        <item x="208"/>
        <item x="367"/>
        <item x="66"/>
        <item x="211"/>
        <item x="406"/>
        <item x="330"/>
        <item x="97"/>
        <item x="447"/>
        <item x="498"/>
        <item x="425"/>
        <item x="110"/>
        <item x="107"/>
        <item x="381"/>
        <item x="430"/>
        <item x="374"/>
        <item x="313"/>
        <item x="235"/>
        <item x="460"/>
        <item x="92"/>
        <item x="225"/>
        <item x="450"/>
        <item x="125"/>
        <item x="193"/>
        <item x="219"/>
        <item x="183"/>
        <item x="128"/>
        <item x="41"/>
        <item x="260"/>
        <item x="169"/>
        <item x="221"/>
        <item x="5"/>
        <item x="148"/>
        <item x="411"/>
        <item x="245"/>
        <item x="114"/>
        <item x="210"/>
        <item x="275"/>
        <item x="179"/>
        <item x="146"/>
        <item x="488"/>
        <item x="305"/>
        <item x="152"/>
        <item x="492"/>
        <item x="380"/>
        <item x="103"/>
        <item x="473"/>
        <item x="271"/>
        <item x="493"/>
        <item x="284"/>
        <item x="231"/>
        <item x="354"/>
        <item x="164"/>
        <item x="189"/>
        <item x="303"/>
        <item x="403"/>
        <item x="482"/>
        <item x="9"/>
        <item x="396"/>
        <item x="238"/>
        <item x="377"/>
        <item x="47"/>
        <item x="89"/>
        <item x="414"/>
        <item x="159"/>
        <item x="324"/>
        <item x="467"/>
        <item x="112"/>
        <item x="136"/>
        <item x="118"/>
        <item x="483"/>
        <item x="415"/>
        <item x="39"/>
        <item x="413"/>
        <item x="75"/>
        <item x="79"/>
        <item x="217"/>
        <item x="99"/>
        <item x="176"/>
        <item x="207"/>
        <item x="120"/>
        <item x="395"/>
        <item x="3"/>
        <item x="104"/>
        <item x="480"/>
        <item x="353"/>
        <item x="32"/>
        <item x="423"/>
        <item x="397"/>
        <item x="209"/>
        <item x="53"/>
        <item x="172"/>
        <item x="274"/>
        <item x="67"/>
        <item x="184"/>
        <item x="273"/>
        <item x="340"/>
        <item x="73"/>
        <item x="301"/>
        <item x="45"/>
        <item x="95"/>
        <item x="299"/>
        <item x="268"/>
        <item x="239"/>
        <item x="249"/>
        <item x="470"/>
        <item x="270"/>
        <item x="440"/>
        <item x="378"/>
        <item x="481"/>
        <item x="322"/>
        <item x="57"/>
        <item x="328"/>
        <item x="237"/>
        <item x="44"/>
        <item x="74"/>
        <item x="258"/>
        <item x="25"/>
        <item x="420"/>
        <item x="19"/>
        <item x="392"/>
        <item x="197"/>
        <item x="43"/>
        <item x="175"/>
        <item x="170"/>
        <item x="50"/>
        <item x="464"/>
        <item x="291"/>
        <item x="69"/>
        <item x="383"/>
        <item x="29"/>
        <item x="461"/>
        <item x="372"/>
        <item x="60"/>
        <item x="140"/>
        <item x="253"/>
        <item x="121"/>
        <item x="228"/>
        <item x="297"/>
        <item x="389"/>
        <item x="56"/>
        <item x="352"/>
        <item x="77"/>
        <item x="384"/>
        <item x="246"/>
        <item x="250"/>
        <item x="333"/>
        <item x="10"/>
        <item x="362"/>
        <item x="290"/>
        <item x="16"/>
        <item x="115"/>
        <item x="144"/>
        <item x="117"/>
        <item x="49"/>
        <item x="409"/>
        <item x="266"/>
        <item x="155"/>
        <item x="177"/>
        <item x="497"/>
        <item x="323"/>
        <item x="298"/>
        <item x="491"/>
        <item x="417"/>
        <item x="82"/>
        <item x="294"/>
        <item x="242"/>
        <item x="100"/>
        <item x="463"/>
        <item x="438"/>
        <item x="376"/>
        <item x="458"/>
        <item t="default"/>
      </items>
    </pivotField>
    <pivotField showAll="0"/>
    <pivotField showAll="0"/>
    <pivotField showAll="0"/>
    <pivotField showAll="0"/>
    <pivotField showAll="0"/>
    <pivotField showAll="0"/>
    <pivotField dataField="1" showAll="0"/>
    <pivotField showAll="0"/>
    <pivotField axis="axisRow" showAll="0">
      <items count="8">
        <item h="1" x="6"/>
        <item x="1"/>
        <item x="5"/>
        <item x="3"/>
        <item x="2"/>
        <item x="4"/>
        <item x="0"/>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0"/>
  </rowFields>
  <rowItems count="7">
    <i>
      <x v="1"/>
    </i>
    <i>
      <x v="2"/>
    </i>
    <i>
      <x v="3"/>
    </i>
    <i>
      <x v="4"/>
    </i>
    <i>
      <x v="5"/>
    </i>
    <i>
      <x v="6"/>
    </i>
    <i t="grand">
      <x/>
    </i>
  </rowItems>
  <colItems count="1">
    <i/>
  </colItems>
  <dataFields count="1">
    <dataField name="Average of resolution_time_hours" fld="8" subtotal="average" baseField="10" baseItem="1"/>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DC16BB9-79C0-4E09-8557-376A2E1B497F}"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53:B160" firstHeaderRow="1" firstDataRow="1" firstDataCol="1"/>
  <pivotFields count="14">
    <pivotField dataField="1" showAll="0"/>
    <pivotField axis="axisRow" numFmtId="22" showAll="0">
      <items count="501">
        <item x="312"/>
        <item x="306"/>
        <item x="87"/>
        <item x="54"/>
        <item x="201"/>
        <item x="499"/>
        <item x="224"/>
        <item x="329"/>
        <item x="143"/>
        <item x="474"/>
        <item x="134"/>
        <item x="373"/>
        <item x="317"/>
        <item x="311"/>
        <item x="8"/>
        <item x="478"/>
        <item x="37"/>
        <item x="166"/>
        <item x="254"/>
        <item x="347"/>
        <item x="35"/>
        <item x="484"/>
        <item x="475"/>
        <item x="102"/>
        <item x="229"/>
        <item x="147"/>
        <item x="13"/>
        <item x="30"/>
        <item x="348"/>
        <item x="331"/>
        <item x="280"/>
        <item x="332"/>
        <item x="163"/>
        <item x="402"/>
        <item x="490"/>
        <item x="161"/>
        <item x="206"/>
        <item x="479"/>
        <item x="94"/>
        <item x="405"/>
        <item x="344"/>
        <item x="236"/>
        <item x="359"/>
        <item x="241"/>
        <item x="264"/>
        <item x="182"/>
        <item x="36"/>
        <item x="283"/>
        <item x="338"/>
        <item x="346"/>
        <item x="7"/>
        <item x="278"/>
        <item x="327"/>
        <item x="190"/>
        <item x="83"/>
        <item x="131"/>
        <item x="276"/>
        <item x="365"/>
        <item x="12"/>
        <item x="165"/>
        <item x="435"/>
        <item x="153"/>
        <item x="424"/>
        <item x="465"/>
        <item x="173"/>
        <item x="466"/>
        <item x="180"/>
        <item x="145"/>
        <item x="186"/>
        <item x="452"/>
        <item x="428"/>
        <item x="55"/>
        <item x="91"/>
        <item x="445"/>
        <item x="127"/>
        <item x="204"/>
        <item x="432"/>
        <item x="262"/>
        <item x="20"/>
        <item x="58"/>
        <item x="351"/>
        <item x="310"/>
        <item x="252"/>
        <item x="168"/>
        <item x="358"/>
        <item x="247"/>
        <item x="214"/>
        <item x="343"/>
        <item x="202"/>
        <item x="142"/>
        <item x="68"/>
        <item x="399"/>
        <item x="248"/>
        <item x="390"/>
        <item x="263"/>
        <item x="495"/>
        <item x="243"/>
        <item x="293"/>
        <item x="382"/>
        <item x="156"/>
        <item x="307"/>
        <item x="363"/>
        <item x="308"/>
        <item x="356"/>
        <item x="471"/>
        <item x="96"/>
        <item x="124"/>
        <item x="412"/>
        <item x="6"/>
        <item x="448"/>
        <item x="27"/>
        <item x="318"/>
        <item x="434"/>
        <item x="48"/>
        <item x="391"/>
        <item x="101"/>
        <item x="269"/>
        <item x="218"/>
        <item x="431"/>
        <item x="289"/>
        <item x="178"/>
        <item x="281"/>
        <item x="449"/>
        <item x="388"/>
        <item x="451"/>
        <item x="188"/>
        <item x="4"/>
        <item x="364"/>
        <item x="416"/>
        <item x="494"/>
        <item x="0"/>
        <item x="223"/>
        <item x="26"/>
        <item x="355"/>
        <item x="181"/>
        <item x="357"/>
        <item x="427"/>
        <item x="394"/>
        <item x="456"/>
        <item x="85"/>
        <item x="158"/>
        <item x="203"/>
        <item x="216"/>
        <item x="222"/>
        <item x="157"/>
        <item x="302"/>
        <item x="133"/>
        <item x="468"/>
        <item x="287"/>
        <item x="436"/>
        <item x="135"/>
        <item x="279"/>
        <item x="234"/>
        <item x="408"/>
        <item x="196"/>
        <item x="341"/>
        <item x="139"/>
        <item x="64"/>
        <item x="476"/>
        <item x="46"/>
        <item x="226"/>
        <item x="418"/>
        <item x="350"/>
        <item x="486"/>
        <item x="212"/>
        <item x="314"/>
        <item x="371"/>
        <item x="137"/>
        <item x="132"/>
        <item x="477"/>
        <item x="123"/>
        <item x="2"/>
        <item x="111"/>
        <item x="487"/>
        <item x="160"/>
        <item x="17"/>
        <item x="368"/>
        <item x="130"/>
        <item x="61"/>
        <item x="116"/>
        <item x="23"/>
        <item x="22"/>
        <item x="256"/>
        <item x="38"/>
        <item x="213"/>
        <item x="80"/>
        <item x="277"/>
        <item x="457"/>
        <item x="200"/>
        <item x="122"/>
        <item x="259"/>
        <item x="496"/>
        <item x="386"/>
        <item x="167"/>
        <item x="282"/>
        <item x="185"/>
        <item x="379"/>
        <item x="439"/>
        <item x="14"/>
        <item x="21"/>
        <item x="257"/>
        <item x="195"/>
        <item x="98"/>
        <item x="320"/>
        <item x="194"/>
        <item x="337"/>
        <item x="401"/>
        <item x="84"/>
        <item x="342"/>
        <item x="105"/>
        <item x="40"/>
        <item x="426"/>
        <item x="309"/>
        <item x="65"/>
        <item x="162"/>
        <item x="90"/>
        <item x="361"/>
        <item x="370"/>
        <item x="375"/>
        <item x="261"/>
        <item x="437"/>
        <item x="63"/>
        <item x="113"/>
        <item x="267"/>
        <item x="78"/>
        <item x="33"/>
        <item x="187"/>
        <item x="255"/>
        <item x="319"/>
        <item x="407"/>
        <item x="109"/>
        <item x="485"/>
        <item x="265"/>
        <item x="360"/>
        <item x="304"/>
        <item x="59"/>
        <item x="1"/>
        <item x="453"/>
        <item x="108"/>
        <item x="34"/>
        <item x="433"/>
        <item x="88"/>
        <item x="240"/>
        <item x="339"/>
        <item x="315"/>
        <item x="286"/>
        <item x="443"/>
        <item x="86"/>
        <item x="215"/>
        <item x="398"/>
        <item x="429"/>
        <item x="93"/>
        <item x="154"/>
        <item x="326"/>
        <item x="325"/>
        <item x="335"/>
        <item x="296"/>
        <item x="174"/>
        <item x="336"/>
        <item x="62"/>
        <item x="459"/>
        <item x="129"/>
        <item x="205"/>
        <item x="272"/>
        <item x="300"/>
        <item x="345"/>
        <item x="419"/>
        <item x="24"/>
        <item x="489"/>
        <item x="151"/>
        <item x="400"/>
        <item x="198"/>
        <item x="232"/>
        <item x="141"/>
        <item x="369"/>
        <item x="191"/>
        <item x="469"/>
        <item x="106"/>
        <item x="316"/>
        <item x="410"/>
        <item x="42"/>
        <item x="233"/>
        <item x="15"/>
        <item x="285"/>
        <item x="295"/>
        <item x="334"/>
        <item x="321"/>
        <item x="230"/>
        <item x="119"/>
        <item x="421"/>
        <item x="28"/>
        <item x="138"/>
        <item x="76"/>
        <item x="393"/>
        <item x="404"/>
        <item x="72"/>
        <item x="387"/>
        <item x="288"/>
        <item x="126"/>
        <item x="462"/>
        <item x="70"/>
        <item x="446"/>
        <item x="71"/>
        <item x="220"/>
        <item x="150"/>
        <item x="455"/>
        <item x="454"/>
        <item x="441"/>
        <item x="442"/>
        <item x="349"/>
        <item x="472"/>
        <item x="51"/>
        <item x="149"/>
        <item x="11"/>
        <item x="366"/>
        <item x="31"/>
        <item x="292"/>
        <item x="192"/>
        <item x="244"/>
        <item x="81"/>
        <item x="52"/>
        <item x="18"/>
        <item x="171"/>
        <item x="385"/>
        <item x="422"/>
        <item x="199"/>
        <item x="444"/>
        <item x="251"/>
        <item x="227"/>
        <item x="208"/>
        <item x="367"/>
        <item x="66"/>
        <item x="211"/>
        <item x="406"/>
        <item x="330"/>
        <item x="97"/>
        <item x="447"/>
        <item x="498"/>
        <item x="425"/>
        <item x="110"/>
        <item x="107"/>
        <item x="381"/>
        <item x="430"/>
        <item x="374"/>
        <item x="313"/>
        <item x="235"/>
        <item x="460"/>
        <item x="92"/>
        <item x="225"/>
        <item x="450"/>
        <item x="125"/>
        <item x="193"/>
        <item x="219"/>
        <item x="183"/>
        <item x="128"/>
        <item x="41"/>
        <item x="260"/>
        <item x="169"/>
        <item x="221"/>
        <item x="5"/>
        <item x="148"/>
        <item x="411"/>
        <item x="245"/>
        <item x="114"/>
        <item x="210"/>
        <item x="275"/>
        <item x="179"/>
        <item x="146"/>
        <item x="488"/>
        <item x="305"/>
        <item x="152"/>
        <item x="492"/>
        <item x="380"/>
        <item x="103"/>
        <item x="473"/>
        <item x="271"/>
        <item x="493"/>
        <item x="284"/>
        <item x="231"/>
        <item x="354"/>
        <item x="164"/>
        <item x="189"/>
        <item x="303"/>
        <item x="403"/>
        <item x="482"/>
        <item x="9"/>
        <item x="396"/>
        <item x="238"/>
        <item x="377"/>
        <item x="47"/>
        <item x="89"/>
        <item x="414"/>
        <item x="159"/>
        <item x="324"/>
        <item x="467"/>
        <item x="112"/>
        <item x="136"/>
        <item x="118"/>
        <item x="483"/>
        <item x="415"/>
        <item x="39"/>
        <item x="413"/>
        <item x="75"/>
        <item x="79"/>
        <item x="217"/>
        <item x="99"/>
        <item x="176"/>
        <item x="207"/>
        <item x="120"/>
        <item x="395"/>
        <item x="3"/>
        <item x="104"/>
        <item x="480"/>
        <item x="353"/>
        <item x="32"/>
        <item x="423"/>
        <item x="397"/>
        <item x="209"/>
        <item x="53"/>
        <item x="172"/>
        <item x="274"/>
        <item x="67"/>
        <item x="184"/>
        <item x="273"/>
        <item x="340"/>
        <item x="73"/>
        <item x="301"/>
        <item x="45"/>
        <item x="95"/>
        <item x="299"/>
        <item x="268"/>
        <item x="239"/>
        <item x="249"/>
        <item x="470"/>
        <item x="270"/>
        <item x="440"/>
        <item x="378"/>
        <item x="481"/>
        <item x="322"/>
        <item x="57"/>
        <item x="328"/>
        <item x="237"/>
        <item x="44"/>
        <item x="74"/>
        <item x="258"/>
        <item x="25"/>
        <item x="420"/>
        <item x="19"/>
        <item x="392"/>
        <item x="197"/>
        <item x="43"/>
        <item x="175"/>
        <item x="170"/>
        <item x="50"/>
        <item x="464"/>
        <item x="291"/>
        <item x="69"/>
        <item x="383"/>
        <item x="29"/>
        <item x="461"/>
        <item x="372"/>
        <item x="60"/>
        <item x="140"/>
        <item x="253"/>
        <item x="121"/>
        <item x="228"/>
        <item x="297"/>
        <item x="389"/>
        <item x="56"/>
        <item x="352"/>
        <item x="77"/>
        <item x="384"/>
        <item x="246"/>
        <item x="250"/>
        <item x="333"/>
        <item x="10"/>
        <item x="362"/>
        <item x="290"/>
        <item x="16"/>
        <item x="115"/>
        <item x="144"/>
        <item x="117"/>
        <item x="49"/>
        <item x="409"/>
        <item x="266"/>
        <item x="155"/>
        <item x="177"/>
        <item x="497"/>
        <item x="323"/>
        <item x="298"/>
        <item x="491"/>
        <item x="417"/>
        <item x="82"/>
        <item x="294"/>
        <item x="242"/>
        <item x="100"/>
        <item x="463"/>
        <item x="438"/>
        <item x="376"/>
        <item x="458"/>
        <item t="default"/>
      </items>
    </pivotField>
    <pivotField showAll="0"/>
    <pivotField showAll="0"/>
    <pivotField showAll="0"/>
    <pivotField showAll="0"/>
    <pivotField showAll="0"/>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13"/>
    <field x="1"/>
  </rowFields>
  <rowItems count="7">
    <i>
      <x v="1"/>
    </i>
    <i>
      <x v="2"/>
    </i>
    <i>
      <x v="3"/>
    </i>
    <i>
      <x v="4"/>
    </i>
    <i>
      <x v="5"/>
    </i>
    <i>
      <x v="6"/>
    </i>
    <i t="grand">
      <x/>
    </i>
  </rowItems>
  <colItems count="1">
    <i/>
  </colItems>
  <dataFields count="1">
    <dataField name="Count of ticket_i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EED9C73-110F-4961-B30F-20986C48A305}"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0:D139" firstHeaderRow="0" firstDataRow="1" firstDataCol="1"/>
  <pivotFields count="14">
    <pivotField dataField="1" showAll="0"/>
    <pivotField numFmtId="22" showAll="0">
      <items count="501">
        <item x="312"/>
        <item x="306"/>
        <item x="87"/>
        <item x="54"/>
        <item x="201"/>
        <item x="499"/>
        <item x="224"/>
        <item x="329"/>
        <item x="143"/>
        <item x="474"/>
        <item x="134"/>
        <item x="373"/>
        <item x="317"/>
        <item x="311"/>
        <item x="8"/>
        <item x="478"/>
        <item x="37"/>
        <item x="166"/>
        <item x="254"/>
        <item x="347"/>
        <item x="35"/>
        <item x="484"/>
        <item x="475"/>
        <item x="102"/>
        <item x="229"/>
        <item x="147"/>
        <item x="13"/>
        <item x="30"/>
        <item x="348"/>
        <item x="331"/>
        <item x="280"/>
        <item x="332"/>
        <item x="163"/>
        <item x="402"/>
        <item x="490"/>
        <item x="161"/>
        <item x="206"/>
        <item x="479"/>
        <item x="94"/>
        <item x="405"/>
        <item x="344"/>
        <item x="236"/>
        <item x="359"/>
        <item x="241"/>
        <item x="264"/>
        <item x="182"/>
        <item x="36"/>
        <item x="283"/>
        <item x="338"/>
        <item x="346"/>
        <item x="7"/>
        <item x="278"/>
        <item x="327"/>
        <item x="190"/>
        <item x="83"/>
        <item x="131"/>
        <item x="276"/>
        <item x="365"/>
        <item x="12"/>
        <item x="165"/>
        <item x="435"/>
        <item x="153"/>
        <item x="424"/>
        <item x="465"/>
        <item x="173"/>
        <item x="466"/>
        <item x="180"/>
        <item x="145"/>
        <item x="186"/>
        <item x="452"/>
        <item x="428"/>
        <item x="55"/>
        <item x="91"/>
        <item x="445"/>
        <item x="127"/>
        <item x="204"/>
        <item x="432"/>
        <item x="262"/>
        <item x="20"/>
        <item x="58"/>
        <item x="351"/>
        <item x="310"/>
        <item x="252"/>
        <item x="168"/>
        <item x="358"/>
        <item x="247"/>
        <item x="214"/>
        <item x="343"/>
        <item x="202"/>
        <item x="142"/>
        <item x="68"/>
        <item x="399"/>
        <item x="248"/>
        <item x="390"/>
        <item x="263"/>
        <item x="495"/>
        <item x="243"/>
        <item x="293"/>
        <item x="382"/>
        <item x="156"/>
        <item x="307"/>
        <item x="363"/>
        <item x="308"/>
        <item x="356"/>
        <item x="471"/>
        <item x="96"/>
        <item x="124"/>
        <item x="412"/>
        <item x="6"/>
        <item x="448"/>
        <item x="27"/>
        <item x="318"/>
        <item x="434"/>
        <item x="48"/>
        <item x="391"/>
        <item x="101"/>
        <item x="269"/>
        <item x="218"/>
        <item x="431"/>
        <item x="289"/>
        <item x="178"/>
        <item x="281"/>
        <item x="449"/>
        <item x="388"/>
        <item x="451"/>
        <item x="188"/>
        <item x="4"/>
        <item x="364"/>
        <item x="416"/>
        <item x="494"/>
        <item x="0"/>
        <item x="223"/>
        <item x="26"/>
        <item x="355"/>
        <item x="181"/>
        <item x="357"/>
        <item x="427"/>
        <item x="394"/>
        <item x="456"/>
        <item x="85"/>
        <item x="158"/>
        <item x="203"/>
        <item x="216"/>
        <item x="222"/>
        <item x="157"/>
        <item x="302"/>
        <item x="133"/>
        <item x="468"/>
        <item x="287"/>
        <item x="436"/>
        <item x="135"/>
        <item x="279"/>
        <item x="234"/>
        <item x="408"/>
        <item x="196"/>
        <item x="341"/>
        <item x="139"/>
        <item x="64"/>
        <item x="476"/>
        <item x="46"/>
        <item x="226"/>
        <item x="418"/>
        <item x="350"/>
        <item x="486"/>
        <item x="212"/>
        <item x="314"/>
        <item x="371"/>
        <item x="137"/>
        <item x="132"/>
        <item x="477"/>
        <item x="123"/>
        <item x="2"/>
        <item x="111"/>
        <item x="487"/>
        <item x="160"/>
        <item x="17"/>
        <item x="368"/>
        <item x="130"/>
        <item x="61"/>
        <item x="116"/>
        <item x="23"/>
        <item x="22"/>
        <item x="256"/>
        <item x="38"/>
        <item x="213"/>
        <item x="80"/>
        <item x="277"/>
        <item x="457"/>
        <item x="200"/>
        <item x="122"/>
        <item x="259"/>
        <item x="496"/>
        <item x="386"/>
        <item x="167"/>
        <item x="282"/>
        <item x="185"/>
        <item x="379"/>
        <item x="439"/>
        <item x="14"/>
        <item x="21"/>
        <item x="257"/>
        <item x="195"/>
        <item x="98"/>
        <item x="320"/>
        <item x="194"/>
        <item x="337"/>
        <item x="401"/>
        <item x="84"/>
        <item x="342"/>
        <item x="105"/>
        <item x="40"/>
        <item x="426"/>
        <item x="309"/>
        <item x="65"/>
        <item x="162"/>
        <item x="90"/>
        <item x="361"/>
        <item x="370"/>
        <item x="375"/>
        <item x="261"/>
        <item x="437"/>
        <item x="63"/>
        <item x="113"/>
        <item x="267"/>
        <item x="78"/>
        <item x="33"/>
        <item x="187"/>
        <item x="255"/>
        <item x="319"/>
        <item x="407"/>
        <item x="109"/>
        <item x="485"/>
        <item x="265"/>
        <item x="360"/>
        <item x="304"/>
        <item x="59"/>
        <item x="1"/>
        <item x="453"/>
        <item x="108"/>
        <item x="34"/>
        <item x="433"/>
        <item x="88"/>
        <item x="240"/>
        <item x="339"/>
        <item x="315"/>
        <item x="286"/>
        <item x="443"/>
        <item x="86"/>
        <item x="215"/>
        <item x="398"/>
        <item x="429"/>
        <item x="93"/>
        <item x="154"/>
        <item x="326"/>
        <item x="325"/>
        <item x="335"/>
        <item x="296"/>
        <item x="174"/>
        <item x="336"/>
        <item x="62"/>
        <item x="459"/>
        <item x="129"/>
        <item x="205"/>
        <item x="272"/>
        <item x="300"/>
        <item x="345"/>
        <item x="419"/>
        <item x="24"/>
        <item x="489"/>
        <item x="151"/>
        <item x="400"/>
        <item x="198"/>
        <item x="232"/>
        <item x="141"/>
        <item x="369"/>
        <item x="191"/>
        <item x="469"/>
        <item x="106"/>
        <item x="316"/>
        <item x="410"/>
        <item x="42"/>
        <item x="233"/>
        <item x="15"/>
        <item x="285"/>
        <item x="295"/>
        <item x="334"/>
        <item x="321"/>
        <item x="230"/>
        <item x="119"/>
        <item x="421"/>
        <item x="28"/>
        <item x="138"/>
        <item x="76"/>
        <item x="393"/>
        <item x="404"/>
        <item x="72"/>
        <item x="387"/>
        <item x="288"/>
        <item x="126"/>
        <item x="462"/>
        <item x="70"/>
        <item x="446"/>
        <item x="71"/>
        <item x="220"/>
        <item x="150"/>
        <item x="455"/>
        <item x="454"/>
        <item x="441"/>
        <item x="442"/>
        <item x="349"/>
        <item x="472"/>
        <item x="51"/>
        <item x="149"/>
        <item x="11"/>
        <item x="366"/>
        <item x="31"/>
        <item x="292"/>
        <item x="192"/>
        <item x="244"/>
        <item x="81"/>
        <item x="52"/>
        <item x="18"/>
        <item x="171"/>
        <item x="385"/>
        <item x="422"/>
        <item x="199"/>
        <item x="444"/>
        <item x="251"/>
        <item x="227"/>
        <item x="208"/>
        <item x="367"/>
        <item x="66"/>
        <item x="211"/>
        <item x="406"/>
        <item x="330"/>
        <item x="97"/>
        <item x="447"/>
        <item x="498"/>
        <item x="425"/>
        <item x="110"/>
        <item x="107"/>
        <item x="381"/>
        <item x="430"/>
        <item x="374"/>
        <item x="313"/>
        <item x="235"/>
        <item x="460"/>
        <item x="92"/>
        <item x="225"/>
        <item x="450"/>
        <item x="125"/>
        <item x="193"/>
        <item x="219"/>
        <item x="183"/>
        <item x="128"/>
        <item x="41"/>
        <item x="260"/>
        <item x="169"/>
        <item x="221"/>
        <item x="5"/>
        <item x="148"/>
        <item x="411"/>
        <item x="245"/>
        <item x="114"/>
        <item x="210"/>
        <item x="275"/>
        <item x="179"/>
        <item x="146"/>
        <item x="488"/>
        <item x="305"/>
        <item x="152"/>
        <item x="492"/>
        <item x="380"/>
        <item x="103"/>
        <item x="473"/>
        <item x="271"/>
        <item x="493"/>
        <item x="284"/>
        <item x="231"/>
        <item x="354"/>
        <item x="164"/>
        <item x="189"/>
        <item x="303"/>
        <item x="403"/>
        <item x="482"/>
        <item x="9"/>
        <item x="396"/>
        <item x="238"/>
        <item x="377"/>
        <item x="47"/>
        <item x="89"/>
        <item x="414"/>
        <item x="159"/>
        <item x="324"/>
        <item x="467"/>
        <item x="112"/>
        <item x="136"/>
        <item x="118"/>
        <item x="483"/>
        <item x="415"/>
        <item x="39"/>
        <item x="413"/>
        <item x="75"/>
        <item x="79"/>
        <item x="217"/>
        <item x="99"/>
        <item x="176"/>
        <item x="207"/>
        <item x="120"/>
        <item x="395"/>
        <item x="3"/>
        <item x="104"/>
        <item x="480"/>
        <item x="353"/>
        <item x="32"/>
        <item x="423"/>
        <item x="397"/>
        <item x="209"/>
        <item x="53"/>
        <item x="172"/>
        <item x="274"/>
        <item x="67"/>
        <item x="184"/>
        <item x="273"/>
        <item x="340"/>
        <item x="73"/>
        <item x="301"/>
        <item x="45"/>
        <item x="95"/>
        <item x="299"/>
        <item x="268"/>
        <item x="239"/>
        <item x="249"/>
        <item x="470"/>
        <item x="270"/>
        <item x="440"/>
        <item x="378"/>
        <item x="481"/>
        <item x="322"/>
        <item x="57"/>
        <item x="328"/>
        <item x="237"/>
        <item x="44"/>
        <item x="74"/>
        <item x="258"/>
        <item x="25"/>
        <item x="420"/>
        <item x="19"/>
        <item x="392"/>
        <item x="197"/>
        <item x="43"/>
        <item x="175"/>
        <item x="170"/>
        <item x="50"/>
        <item x="464"/>
        <item x="291"/>
        <item x="69"/>
        <item x="383"/>
        <item x="29"/>
        <item x="461"/>
        <item x="372"/>
        <item x="60"/>
        <item x="140"/>
        <item x="253"/>
        <item x="121"/>
        <item x="228"/>
        <item x="297"/>
        <item x="389"/>
        <item x="56"/>
        <item x="352"/>
        <item x="77"/>
        <item x="384"/>
        <item x="246"/>
        <item x="250"/>
        <item x="333"/>
        <item x="10"/>
        <item x="362"/>
        <item x="290"/>
        <item x="16"/>
        <item x="115"/>
        <item x="144"/>
        <item x="117"/>
        <item x="49"/>
        <item x="409"/>
        <item x="266"/>
        <item x="155"/>
        <item x="177"/>
        <item x="497"/>
        <item x="323"/>
        <item x="298"/>
        <item x="491"/>
        <item x="417"/>
        <item x="82"/>
        <item x="294"/>
        <item x="242"/>
        <item x="100"/>
        <item x="463"/>
        <item x="438"/>
        <item x="376"/>
        <item x="458"/>
        <item t="default"/>
      </items>
    </pivotField>
    <pivotField showAll="0"/>
    <pivotField showAll="0"/>
    <pivotField showAll="0"/>
    <pivotField showAll="0"/>
    <pivotField showAll="0"/>
    <pivotField axis="axisRow" showAll="0">
      <items count="10">
        <item x="1"/>
        <item x="5"/>
        <item x="7"/>
        <item x="6"/>
        <item x="3"/>
        <item x="2"/>
        <item x="0"/>
        <item x="4"/>
        <item m="1" x="8"/>
        <item t="default"/>
      </items>
    </pivotField>
    <pivotField dataField="1"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9">
    <i>
      <x/>
    </i>
    <i>
      <x v="1"/>
    </i>
    <i>
      <x v="2"/>
    </i>
    <i>
      <x v="3"/>
    </i>
    <i>
      <x v="4"/>
    </i>
    <i>
      <x v="5"/>
    </i>
    <i>
      <x v="6"/>
    </i>
    <i>
      <x v="7"/>
    </i>
    <i t="grand">
      <x/>
    </i>
  </rowItems>
  <colFields count="1">
    <field x="-2"/>
  </colFields>
  <colItems count="3">
    <i>
      <x/>
    </i>
    <i i="1">
      <x v="1"/>
    </i>
    <i i="2">
      <x v="2"/>
    </i>
  </colItems>
  <dataFields count="3">
    <dataField name="Count of ticket_id" fld="0" subtotal="count" baseField="0" baseItem="0"/>
    <dataField name="Average of resolution_time_hours" fld="8" subtotal="average" baseField="7" baseItem="0"/>
    <dataField name="Average of customer_satisfaction" fld="9" subtotal="average" baseField="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BB199CA-E20C-41E9-A1C7-C87B58F2FA99}" name="Table3" displayName="Table3" ref="A146:C148" headerRowCount="0" totalsRowShown="0">
  <tableColumns count="3">
    <tableColumn id="1" xr3:uid="{A8116CFB-47FD-44A4-8408-D83CA52024CE}" name="Column1"/>
    <tableColumn id="2" xr3:uid="{F0E7B66B-D43E-448E-AAF0-76CF33D98E71}" name="Column2"/>
    <tableColumn id="3" xr3:uid="{0A83AFB5-2FED-48D1-AA2E-D7E183C5DE50}" name="Column3"/>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table" Target="../tables/table1.xml"/><Relationship Id="rId5" Type="http://schemas.openxmlformats.org/officeDocument/2006/relationships/pivotTable" Target="../pivotTables/pivotTable5.xml"/><Relationship Id="rId10" Type="http://schemas.openxmlformats.org/officeDocument/2006/relationships/drawing" Target="../drawings/drawing2.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4FC1E-D0C3-40D9-ADBB-8CC94001891B}">
  <dimension ref="A1:P10"/>
  <sheetViews>
    <sheetView showGridLines="0" tabSelected="1" zoomScaleNormal="100" workbookViewId="0">
      <selection activeCell="R3" sqref="R3"/>
    </sheetView>
  </sheetViews>
  <sheetFormatPr defaultRowHeight="14.4" x14ac:dyDescent="0.3"/>
  <cols>
    <col min="9" max="9" width="11.88671875" customWidth="1"/>
    <col min="11" max="11" width="8.88671875" customWidth="1"/>
    <col min="12" max="12" width="16.33203125" customWidth="1"/>
  </cols>
  <sheetData>
    <row r="1" spans="1:16" ht="25.8" x14ac:dyDescent="0.5">
      <c r="A1" s="21" t="s">
        <v>591</v>
      </c>
      <c r="B1" s="20"/>
      <c r="C1" s="20"/>
      <c r="D1" s="20"/>
      <c r="E1" s="20"/>
      <c r="F1" s="20"/>
      <c r="G1" s="20"/>
      <c r="H1" s="20"/>
      <c r="I1" s="20"/>
      <c r="J1" s="20"/>
      <c r="K1" s="20"/>
    </row>
    <row r="2" spans="1:16" ht="12.6" customHeight="1" x14ac:dyDescent="0.3"/>
    <row r="3" spans="1:16" ht="21.6" customHeight="1" x14ac:dyDescent="0.3">
      <c r="A3" s="24" t="s">
        <v>592</v>
      </c>
      <c r="B3" s="24"/>
      <c r="C3" s="24"/>
      <c r="D3" s="24" t="s">
        <v>549</v>
      </c>
      <c r="E3" s="25"/>
      <c r="F3" s="25"/>
      <c r="G3" s="24" t="s">
        <v>593</v>
      </c>
      <c r="H3" s="25"/>
      <c r="I3" s="25"/>
      <c r="J3" s="24" t="s">
        <v>594</v>
      </c>
      <c r="K3" s="25"/>
      <c r="L3" s="25"/>
      <c r="M3" s="24" t="s">
        <v>595</v>
      </c>
      <c r="N3" s="25"/>
      <c r="O3" s="25"/>
      <c r="P3" s="23"/>
    </row>
    <row r="4" spans="1:16" ht="16.8" customHeight="1" x14ac:dyDescent="0.3">
      <c r="A4" s="24">
        <v>500</v>
      </c>
      <c r="B4" s="24"/>
      <c r="C4" s="24"/>
      <c r="D4" s="26">
        <v>0.63800000000000001</v>
      </c>
      <c r="E4" s="26"/>
      <c r="F4" s="26"/>
      <c r="G4" s="28" t="s">
        <v>596</v>
      </c>
      <c r="H4" s="28"/>
      <c r="I4" s="28"/>
      <c r="J4" s="28" t="s">
        <v>597</v>
      </c>
      <c r="K4" s="28"/>
      <c r="L4" s="28"/>
      <c r="M4" s="24">
        <v>134</v>
      </c>
      <c r="N4" s="24"/>
      <c r="O4" s="24"/>
      <c r="P4" s="23"/>
    </row>
    <row r="5" spans="1:16" x14ac:dyDescent="0.3">
      <c r="A5" s="23"/>
      <c r="B5" s="23"/>
      <c r="C5" s="23"/>
      <c r="D5" s="23"/>
      <c r="E5" s="23"/>
      <c r="F5" s="23"/>
      <c r="G5" s="23"/>
    </row>
    <row r="7" spans="1:16" ht="15.6" x14ac:dyDescent="0.3">
      <c r="A7" s="27"/>
      <c r="B7" s="22"/>
      <c r="C7" s="22"/>
      <c r="D7" s="22"/>
    </row>
    <row r="10" spans="1:16" x14ac:dyDescent="0.3">
      <c r="F10" s="23"/>
    </row>
  </sheetData>
  <mergeCells count="11">
    <mergeCell ref="M3:O3"/>
    <mergeCell ref="M4:O4"/>
    <mergeCell ref="A1:K1"/>
    <mergeCell ref="A3:C3"/>
    <mergeCell ref="D3:F3"/>
    <mergeCell ref="G3:I3"/>
    <mergeCell ref="J3:L3"/>
    <mergeCell ref="A4:C4"/>
    <mergeCell ref="D4:F4"/>
    <mergeCell ref="G4:I4"/>
    <mergeCell ref="J4:L4"/>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3"/>
  <sheetViews>
    <sheetView workbookViewId="0">
      <selection activeCell="B5" sqref="B5"/>
    </sheetView>
  </sheetViews>
  <sheetFormatPr defaultRowHeight="15.6" x14ac:dyDescent="0.3"/>
  <cols>
    <col min="1" max="1" width="35.21875" style="7" customWidth="1"/>
  </cols>
  <sheetData>
    <row r="1" spans="1:2" x14ac:dyDescent="0.3">
      <c r="A1" s="7" t="s">
        <v>544</v>
      </c>
      <c r="B1">
        <f>COUNTA('cleaned data'!A:A)-1</f>
        <v>500</v>
      </c>
    </row>
    <row r="2" spans="1:2" x14ac:dyDescent="0.3">
      <c r="A2" s="7" t="s">
        <v>545</v>
      </c>
      <c r="B2">
        <f>COUNTIF('cleaned data'!G:G,"resolved")</f>
        <v>319</v>
      </c>
    </row>
    <row r="3" spans="1:2" x14ac:dyDescent="0.3">
      <c r="A3" s="7" t="s">
        <v>546</v>
      </c>
      <c r="B3">
        <f>COUNTIF('cleaned data'!G:G,"pending")</f>
        <v>85</v>
      </c>
    </row>
    <row r="4" spans="1:2" x14ac:dyDescent="0.3">
      <c r="A4" s="7" t="s">
        <v>547</v>
      </c>
      <c r="B4">
        <f>COUNTIF('cleaned data'!F:F,"urgent")</f>
        <v>134</v>
      </c>
    </row>
    <row r="5" spans="1:2" x14ac:dyDescent="0.3">
      <c r="A5" s="7" t="s">
        <v>548</v>
      </c>
      <c r="B5">
        <f>COUNTIF('cleaned data'!D:D,"DELIVERY")</f>
        <v>79</v>
      </c>
    </row>
    <row r="6" spans="1:2" x14ac:dyDescent="0.3">
      <c r="A6" s="7" t="s">
        <v>549</v>
      </c>
      <c r="B6" s="8">
        <f>B2/B1</f>
        <v>0.63800000000000001</v>
      </c>
    </row>
    <row r="8" spans="1:2" x14ac:dyDescent="0.3">
      <c r="A8" s="7" t="s">
        <v>550</v>
      </c>
      <c r="B8">
        <f>COUNTIFS('cleaned data'!F:F,"URGENT",'cleaned data'!G:G,"PENDING")</f>
        <v>26</v>
      </c>
    </row>
    <row r="9" spans="1:2" ht="14.4" x14ac:dyDescent="0.3">
      <c r="A9" t="s">
        <v>551</v>
      </c>
      <c r="B9">
        <f>COUNTIFS('cleaned data'!D:D,"delivery",'cleaned data'!G:G,"resolved")</f>
        <v>52</v>
      </c>
    </row>
    <row r="10" spans="1:2" ht="14.4" x14ac:dyDescent="0.3">
      <c r="A10" t="s">
        <v>552</v>
      </c>
      <c r="B10">
        <f>COUNTIFS('cleaned data'!D:D,"technical",'cleaned data'!F:F,"urgent")</f>
        <v>0</v>
      </c>
    </row>
    <row r="13" spans="1:2" ht="14.4" x14ac:dyDescent="0.3">
      <c r="A13" s="6" t="s">
        <v>553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501"/>
  <sheetViews>
    <sheetView workbookViewId="0">
      <selection activeCell="I86" sqref="I86"/>
    </sheetView>
  </sheetViews>
  <sheetFormatPr defaultRowHeight="14.4" x14ac:dyDescent="0.3"/>
  <cols>
    <col min="2" max="2" width="16.77734375" customWidth="1"/>
    <col min="3" max="3" width="15.88671875" customWidth="1"/>
    <col min="8" max="8" width="13.77734375" customWidth="1"/>
    <col min="9" max="9" width="26.21875" customWidth="1"/>
    <col min="11" max="11" width="13.77734375" customWidth="1"/>
  </cols>
  <sheetData>
    <row r="1" spans="1:16" s="6" customFormat="1" x14ac:dyDescent="0.3">
      <c r="A1" s="6" t="s">
        <v>0</v>
      </c>
      <c r="B1" s="6" t="s">
        <v>1</v>
      </c>
      <c r="C1" s="6" t="s">
        <v>2</v>
      </c>
      <c r="D1" s="6" t="s">
        <v>3</v>
      </c>
      <c r="E1" s="6" t="s">
        <v>4</v>
      </c>
      <c r="F1" s="6" t="s">
        <v>5</v>
      </c>
      <c r="G1" s="6" t="s">
        <v>6</v>
      </c>
      <c r="H1" s="6" t="s">
        <v>7</v>
      </c>
      <c r="I1" s="6" t="s">
        <v>8</v>
      </c>
      <c r="J1" s="6" t="s">
        <v>9</v>
      </c>
      <c r="K1" s="6" t="s">
        <v>542</v>
      </c>
      <c r="L1" s="6" t="s">
        <v>543</v>
      </c>
    </row>
    <row r="2" spans="1:16" x14ac:dyDescent="0.3">
      <c r="A2" t="s">
        <v>148</v>
      </c>
      <c r="B2" s="1">
        <v>45700.929861111108</v>
      </c>
      <c r="C2" s="1">
        <v>45701.088194444441</v>
      </c>
      <c r="D2" t="s">
        <v>32</v>
      </c>
      <c r="E2" t="s">
        <v>26</v>
      </c>
      <c r="F2" t="s">
        <v>23</v>
      </c>
      <c r="G2" t="s">
        <v>14</v>
      </c>
      <c r="H2" t="s">
        <v>15</v>
      </c>
      <c r="I2">
        <v>3.8</v>
      </c>
      <c r="J2">
        <v>1</v>
      </c>
      <c r="K2" t="str">
        <f t="shared" ref="K2:K65" si="0">TRIM(D2)</f>
        <v>Technical Issue</v>
      </c>
      <c r="L2" t="str">
        <f t="shared" ref="L2:L65" si="1">TRIM(E2)</f>
        <v>Phone</v>
      </c>
    </row>
    <row r="3" spans="1:16" x14ac:dyDescent="0.3">
      <c r="A3" t="s">
        <v>383</v>
      </c>
      <c r="B3" s="1">
        <v>45737.935416666667</v>
      </c>
      <c r="C3" s="1">
        <v>45738.127083333333</v>
      </c>
      <c r="D3" t="s">
        <v>28</v>
      </c>
      <c r="E3" t="s">
        <v>12</v>
      </c>
      <c r="F3" t="s">
        <v>19</v>
      </c>
      <c r="G3" t="s">
        <v>14</v>
      </c>
      <c r="H3" t="s">
        <v>39</v>
      </c>
      <c r="I3">
        <v>4.5999999999999996</v>
      </c>
      <c r="J3">
        <v>1</v>
      </c>
      <c r="K3" t="str">
        <f t="shared" si="0"/>
        <v>Account</v>
      </c>
      <c r="L3" t="str">
        <f t="shared" si="1"/>
        <v>Email</v>
      </c>
    </row>
    <row r="4" spans="1:16" x14ac:dyDescent="0.3">
      <c r="A4" t="s">
        <v>195</v>
      </c>
      <c r="B4" s="1">
        <v>45714.450694444444</v>
      </c>
      <c r="C4" s="1">
        <v>45714.700694444444</v>
      </c>
      <c r="D4" t="s">
        <v>47</v>
      </c>
      <c r="E4" t="s">
        <v>18</v>
      </c>
      <c r="F4" t="s">
        <v>23</v>
      </c>
      <c r="G4" t="s">
        <v>14</v>
      </c>
      <c r="H4" t="s">
        <v>30</v>
      </c>
      <c r="I4">
        <v>6</v>
      </c>
      <c r="J4">
        <v>1</v>
      </c>
      <c r="K4" t="str">
        <f t="shared" si="0"/>
        <v>Product Information</v>
      </c>
      <c r="L4" t="str">
        <f t="shared" si="1"/>
        <v>Chat</v>
      </c>
    </row>
    <row r="5" spans="1:16" x14ac:dyDescent="0.3">
      <c r="A5" t="s">
        <v>404</v>
      </c>
      <c r="B5" s="1">
        <v>45800.982638888891</v>
      </c>
      <c r="C5" s="1">
        <v>45801.286805555559</v>
      </c>
      <c r="D5" t="s">
        <v>36</v>
      </c>
      <c r="E5" t="s">
        <v>12</v>
      </c>
      <c r="F5" t="s">
        <v>13</v>
      </c>
      <c r="G5" t="s">
        <v>14</v>
      </c>
      <c r="H5" t="s">
        <v>39</v>
      </c>
      <c r="I5">
        <v>7.3</v>
      </c>
      <c r="J5">
        <v>1</v>
      </c>
      <c r="K5" t="str">
        <f t="shared" si="0"/>
        <v>Payment</v>
      </c>
      <c r="L5" t="str">
        <f t="shared" si="1"/>
        <v>Email</v>
      </c>
    </row>
    <row r="6" spans="1:16" x14ac:dyDescent="0.3">
      <c r="A6" t="s">
        <v>507</v>
      </c>
      <c r="B6" s="1">
        <v>45699.404861111114</v>
      </c>
      <c r="C6" s="1">
        <v>45699.863194444442</v>
      </c>
      <c r="D6" t="s">
        <v>11</v>
      </c>
      <c r="E6" t="s">
        <v>26</v>
      </c>
      <c r="F6" t="s">
        <v>33</v>
      </c>
      <c r="G6" t="s">
        <v>14</v>
      </c>
      <c r="H6" t="s">
        <v>39</v>
      </c>
      <c r="I6">
        <v>11</v>
      </c>
      <c r="J6">
        <v>1</v>
      </c>
      <c r="K6" t="str">
        <f t="shared" si="0"/>
        <v>Refund</v>
      </c>
      <c r="L6" t="str">
        <f t="shared" si="1"/>
        <v>Phone</v>
      </c>
    </row>
    <row r="7" spans="1:16" x14ac:dyDescent="0.3">
      <c r="A7" t="s">
        <v>427</v>
      </c>
      <c r="B7" s="1">
        <v>45780.77847222222</v>
      </c>
      <c r="C7" s="1">
        <v>45781.282638888886</v>
      </c>
      <c r="D7" t="s">
        <v>17</v>
      </c>
      <c r="E7" t="s">
        <v>26</v>
      </c>
      <c r="F7" t="s">
        <v>13</v>
      </c>
      <c r="G7" t="s">
        <v>14</v>
      </c>
      <c r="H7" t="s">
        <v>30</v>
      </c>
      <c r="I7">
        <v>12.1</v>
      </c>
      <c r="J7">
        <v>1</v>
      </c>
      <c r="K7" t="str">
        <f t="shared" si="0"/>
        <v>Delivery</v>
      </c>
      <c r="L7" t="str">
        <f t="shared" si="1"/>
        <v>Phone</v>
      </c>
    </row>
    <row r="8" spans="1:16" x14ac:dyDescent="0.3">
      <c r="A8" t="s">
        <v>278</v>
      </c>
      <c r="B8" s="1">
        <v>45692.686805555553</v>
      </c>
      <c r="C8" s="1">
        <v>45693.282638888886</v>
      </c>
      <c r="D8" t="s">
        <v>32</v>
      </c>
      <c r="E8" t="s">
        <v>18</v>
      </c>
      <c r="F8" t="s">
        <v>19</v>
      </c>
      <c r="G8" t="s">
        <v>14</v>
      </c>
      <c r="H8" t="s">
        <v>24</v>
      </c>
      <c r="I8">
        <v>14.3</v>
      </c>
      <c r="J8">
        <v>1</v>
      </c>
      <c r="K8" t="str">
        <f t="shared" si="0"/>
        <v>Technical Issue</v>
      </c>
      <c r="L8" t="str">
        <f t="shared" si="1"/>
        <v>Chat</v>
      </c>
    </row>
    <row r="9" spans="1:16" x14ac:dyDescent="0.3">
      <c r="A9" t="s">
        <v>54</v>
      </c>
      <c r="B9" s="1">
        <v>45676.944444444445</v>
      </c>
      <c r="C9" s="1">
        <v>45677.648611111108</v>
      </c>
      <c r="D9" t="s">
        <v>32</v>
      </c>
      <c r="E9" t="s">
        <v>12</v>
      </c>
      <c r="F9" t="s">
        <v>33</v>
      </c>
      <c r="G9" t="s">
        <v>14</v>
      </c>
      <c r="H9" t="s">
        <v>24</v>
      </c>
      <c r="I9">
        <v>16.899999999999999</v>
      </c>
      <c r="J9">
        <v>1</v>
      </c>
      <c r="K9" t="str">
        <f t="shared" si="0"/>
        <v>Technical Issue</v>
      </c>
      <c r="L9" t="str">
        <f t="shared" si="1"/>
        <v>Email</v>
      </c>
    </row>
    <row r="10" spans="1:16" x14ac:dyDescent="0.3">
      <c r="A10" t="s">
        <v>380</v>
      </c>
      <c r="B10" s="1">
        <v>45662.75277777778</v>
      </c>
      <c r="C10" s="1">
        <v>45663.552777777775</v>
      </c>
      <c r="D10" t="s">
        <v>17</v>
      </c>
      <c r="E10" t="s">
        <v>22</v>
      </c>
      <c r="F10" t="s">
        <v>23</v>
      </c>
      <c r="G10" t="s">
        <v>14</v>
      </c>
      <c r="H10" t="s">
        <v>15</v>
      </c>
      <c r="I10">
        <v>19.2</v>
      </c>
      <c r="J10">
        <v>1</v>
      </c>
      <c r="K10" t="str">
        <f t="shared" si="0"/>
        <v>Delivery</v>
      </c>
      <c r="L10" t="str">
        <f t="shared" si="1"/>
        <v>Social Media</v>
      </c>
    </row>
    <row r="11" spans="1:16" x14ac:dyDescent="0.3">
      <c r="A11" t="s">
        <v>92</v>
      </c>
      <c r="B11" s="1">
        <v>45791.652777777781</v>
      </c>
      <c r="C11" s="1">
        <v>45792.490277777775</v>
      </c>
      <c r="D11" t="s">
        <v>11</v>
      </c>
      <c r="E11" t="s">
        <v>26</v>
      </c>
      <c r="F11" t="s">
        <v>33</v>
      </c>
      <c r="G11" t="s">
        <v>14</v>
      </c>
      <c r="H11" t="s">
        <v>24</v>
      </c>
      <c r="I11">
        <v>20.100000000000001</v>
      </c>
      <c r="J11">
        <v>1</v>
      </c>
      <c r="K11" t="str">
        <f t="shared" si="0"/>
        <v>Refund</v>
      </c>
      <c r="L11" t="str">
        <f t="shared" si="1"/>
        <v>Phone</v>
      </c>
      <c r="P11" s="3"/>
    </row>
    <row r="12" spans="1:16" x14ac:dyDescent="0.3">
      <c r="A12" t="s">
        <v>532</v>
      </c>
      <c r="B12" s="1">
        <v>45829.84375</v>
      </c>
      <c r="C12" s="1">
        <v>45830.714583333334</v>
      </c>
      <c r="D12" t="s">
        <v>36</v>
      </c>
      <c r="E12" t="s">
        <v>26</v>
      </c>
      <c r="F12" t="s">
        <v>19</v>
      </c>
      <c r="G12" t="s">
        <v>14</v>
      </c>
      <c r="H12" t="s">
        <v>41</v>
      </c>
      <c r="I12">
        <v>20.9</v>
      </c>
      <c r="J12">
        <v>1</v>
      </c>
      <c r="K12" t="str">
        <f t="shared" si="0"/>
        <v>Payment</v>
      </c>
      <c r="L12" t="str">
        <f t="shared" si="1"/>
        <v>Phone</v>
      </c>
      <c r="P12" s="3"/>
    </row>
    <row r="13" spans="1:16" x14ac:dyDescent="0.3">
      <c r="A13" t="s">
        <v>358</v>
      </c>
      <c r="B13" s="1">
        <v>45766.157638888886</v>
      </c>
      <c r="C13" s="1">
        <v>45767.065972222219</v>
      </c>
      <c r="D13" t="s">
        <v>28</v>
      </c>
      <c r="E13" t="s">
        <v>26</v>
      </c>
      <c r="F13" t="s">
        <v>23</v>
      </c>
      <c r="G13" t="s">
        <v>14</v>
      </c>
      <c r="H13" t="s">
        <v>34</v>
      </c>
      <c r="I13">
        <v>21.8</v>
      </c>
      <c r="J13">
        <v>1</v>
      </c>
      <c r="K13" t="str">
        <f t="shared" si="0"/>
        <v>Account</v>
      </c>
      <c r="L13" t="str">
        <f t="shared" si="1"/>
        <v>Phone</v>
      </c>
      <c r="P13" s="3"/>
    </row>
    <row r="14" spans="1:16" x14ac:dyDescent="0.3">
      <c r="A14" t="s">
        <v>467</v>
      </c>
      <c r="B14" s="1">
        <v>45678.63958333333</v>
      </c>
      <c r="C14" s="1">
        <v>45679.59375</v>
      </c>
      <c r="D14" t="s">
        <v>17</v>
      </c>
      <c r="E14" t="s">
        <v>22</v>
      </c>
      <c r="F14" t="s">
        <v>23</v>
      </c>
      <c r="G14" t="s">
        <v>14</v>
      </c>
      <c r="H14" t="s">
        <v>20</v>
      </c>
      <c r="I14">
        <v>22.9</v>
      </c>
      <c r="J14">
        <v>1</v>
      </c>
      <c r="K14" t="str">
        <f t="shared" si="0"/>
        <v>Delivery</v>
      </c>
      <c r="L14" t="str">
        <f t="shared" si="1"/>
        <v>Social Media</v>
      </c>
      <c r="P14" s="3"/>
    </row>
    <row r="15" spans="1:16" x14ac:dyDescent="0.3">
      <c r="A15" t="s">
        <v>519</v>
      </c>
      <c r="B15" s="1">
        <v>45669.414583333331</v>
      </c>
      <c r="C15" s="1">
        <v>45670.38958333333</v>
      </c>
      <c r="D15" t="s">
        <v>17</v>
      </c>
      <c r="E15" t="s">
        <v>18</v>
      </c>
      <c r="F15" t="s">
        <v>13</v>
      </c>
      <c r="G15" t="s">
        <v>14</v>
      </c>
      <c r="H15" t="s">
        <v>34</v>
      </c>
      <c r="I15">
        <v>23.4</v>
      </c>
      <c r="J15">
        <v>1</v>
      </c>
      <c r="K15" t="str">
        <f t="shared" si="0"/>
        <v>Delivery</v>
      </c>
      <c r="L15" t="str">
        <f t="shared" si="1"/>
        <v>Chat</v>
      </c>
      <c r="P15" s="3"/>
    </row>
    <row r="16" spans="1:16" x14ac:dyDescent="0.3">
      <c r="A16" t="s">
        <v>425</v>
      </c>
      <c r="B16" s="1">
        <v>45725.260416666664</v>
      </c>
      <c r="C16" s="1">
        <v>45726.32708333333</v>
      </c>
      <c r="D16" t="s">
        <v>11</v>
      </c>
      <c r="E16" t="s">
        <v>12</v>
      </c>
      <c r="F16" t="s">
        <v>13</v>
      </c>
      <c r="G16" t="s">
        <v>14</v>
      </c>
      <c r="H16" t="s">
        <v>15</v>
      </c>
      <c r="I16">
        <v>25.6</v>
      </c>
      <c r="J16">
        <v>1</v>
      </c>
      <c r="K16" t="str">
        <f t="shared" si="0"/>
        <v>Refund</v>
      </c>
      <c r="L16" t="str">
        <f t="shared" si="1"/>
        <v>Email</v>
      </c>
      <c r="P16" s="3"/>
    </row>
    <row r="17" spans="1:16" x14ac:dyDescent="0.3">
      <c r="A17" t="s">
        <v>223</v>
      </c>
      <c r="B17" s="1">
        <v>45753.365972222222</v>
      </c>
      <c r="C17" s="1">
        <v>45754.449305555558</v>
      </c>
      <c r="D17" t="s">
        <v>32</v>
      </c>
      <c r="E17" t="s">
        <v>18</v>
      </c>
      <c r="F17" t="s">
        <v>13</v>
      </c>
      <c r="G17" t="s">
        <v>14</v>
      </c>
      <c r="H17" t="s">
        <v>30</v>
      </c>
      <c r="I17">
        <v>26</v>
      </c>
      <c r="J17">
        <v>1</v>
      </c>
      <c r="K17" t="str">
        <f t="shared" si="0"/>
        <v>Technical Issue</v>
      </c>
      <c r="L17" t="str">
        <f t="shared" si="1"/>
        <v>Chat</v>
      </c>
      <c r="P17" s="3"/>
    </row>
    <row r="18" spans="1:16" x14ac:dyDescent="0.3">
      <c r="A18" t="s">
        <v>289</v>
      </c>
      <c r="B18" s="1">
        <v>45830.406944444447</v>
      </c>
      <c r="C18" s="1">
        <v>45831.606944444444</v>
      </c>
      <c r="D18" t="s">
        <v>11</v>
      </c>
      <c r="E18" t="s">
        <v>18</v>
      </c>
      <c r="F18" t="s">
        <v>13</v>
      </c>
      <c r="G18" t="s">
        <v>14</v>
      </c>
      <c r="H18" t="s">
        <v>39</v>
      </c>
      <c r="I18">
        <v>28.8</v>
      </c>
      <c r="J18">
        <v>1</v>
      </c>
      <c r="K18" t="str">
        <f t="shared" si="0"/>
        <v>Refund</v>
      </c>
      <c r="L18" t="str">
        <f t="shared" si="1"/>
        <v>Chat</v>
      </c>
      <c r="P18" s="3"/>
    </row>
    <row r="19" spans="1:16" x14ac:dyDescent="0.3">
      <c r="A19" t="s">
        <v>40</v>
      </c>
      <c r="B19" s="1">
        <v>45716.07708333333</v>
      </c>
      <c r="C19" s="1">
        <v>45717.293749999997</v>
      </c>
      <c r="D19" t="s">
        <v>36</v>
      </c>
      <c r="E19" t="s">
        <v>26</v>
      </c>
      <c r="F19" t="s">
        <v>33</v>
      </c>
      <c r="G19" t="s">
        <v>14</v>
      </c>
      <c r="H19" t="s">
        <v>41</v>
      </c>
      <c r="I19">
        <v>29.2</v>
      </c>
      <c r="J19">
        <v>1</v>
      </c>
      <c r="K19" t="str">
        <f t="shared" si="0"/>
        <v>Payment</v>
      </c>
      <c r="L19" t="str">
        <f t="shared" si="1"/>
        <v>Phone</v>
      </c>
      <c r="P19" s="3"/>
    </row>
    <row r="20" spans="1:16" x14ac:dyDescent="0.3">
      <c r="A20" t="s">
        <v>280</v>
      </c>
      <c r="B20" s="1">
        <v>45767.680555555555</v>
      </c>
      <c r="C20" s="1">
        <v>45768.897222222222</v>
      </c>
      <c r="D20" t="s">
        <v>36</v>
      </c>
      <c r="E20" t="s">
        <v>18</v>
      </c>
      <c r="F20" t="s">
        <v>19</v>
      </c>
      <c r="G20" t="s">
        <v>14</v>
      </c>
      <c r="H20" t="s">
        <v>30</v>
      </c>
      <c r="I20">
        <v>29.2</v>
      </c>
      <c r="J20">
        <v>1</v>
      </c>
      <c r="K20" t="str">
        <f t="shared" si="0"/>
        <v>Payment</v>
      </c>
      <c r="L20" t="str">
        <f t="shared" si="1"/>
        <v>Chat</v>
      </c>
    </row>
    <row r="21" spans="1:16" x14ac:dyDescent="0.3">
      <c r="A21" t="s">
        <v>478</v>
      </c>
      <c r="B21" s="1">
        <v>45817.822222222225</v>
      </c>
      <c r="C21" s="1">
        <v>45819.088888888888</v>
      </c>
      <c r="D21" t="s">
        <v>47</v>
      </c>
      <c r="E21" t="s">
        <v>12</v>
      </c>
      <c r="F21" t="s">
        <v>23</v>
      </c>
      <c r="G21" t="s">
        <v>14</v>
      </c>
      <c r="H21" t="s">
        <v>34</v>
      </c>
      <c r="I21">
        <v>30.4</v>
      </c>
      <c r="J21">
        <v>1</v>
      </c>
      <c r="K21" t="str">
        <f t="shared" si="0"/>
        <v>Product Information</v>
      </c>
      <c r="L21" t="str">
        <f t="shared" si="1"/>
        <v>Email</v>
      </c>
    </row>
    <row r="22" spans="1:16" x14ac:dyDescent="0.3">
      <c r="A22" t="s">
        <v>396</v>
      </c>
      <c r="B22" s="1">
        <v>45684.272916666669</v>
      </c>
      <c r="C22" s="1">
        <v>45685.543749999997</v>
      </c>
      <c r="D22" t="s">
        <v>36</v>
      </c>
      <c r="E22" t="s">
        <v>26</v>
      </c>
      <c r="F22" t="s">
        <v>13</v>
      </c>
      <c r="G22" t="s">
        <v>14</v>
      </c>
      <c r="H22" t="s">
        <v>39</v>
      </c>
      <c r="I22">
        <v>30.5</v>
      </c>
      <c r="J22">
        <v>1</v>
      </c>
      <c r="K22" t="str">
        <f t="shared" si="0"/>
        <v>Payment</v>
      </c>
      <c r="L22" t="str">
        <f t="shared" si="1"/>
        <v>Phone</v>
      </c>
    </row>
    <row r="23" spans="1:16" x14ac:dyDescent="0.3">
      <c r="A23" t="s">
        <v>67</v>
      </c>
      <c r="B23" s="1">
        <v>45725.505555555559</v>
      </c>
      <c r="C23" s="1">
        <v>45726.888888888891</v>
      </c>
      <c r="D23" t="s">
        <v>17</v>
      </c>
      <c r="E23" t="s">
        <v>22</v>
      </c>
      <c r="F23" t="s">
        <v>13</v>
      </c>
      <c r="G23" t="s">
        <v>14</v>
      </c>
      <c r="H23" t="s">
        <v>34</v>
      </c>
      <c r="I23">
        <v>33.200000000000003</v>
      </c>
      <c r="J23">
        <v>1</v>
      </c>
      <c r="K23" t="str">
        <f t="shared" si="0"/>
        <v>Delivery</v>
      </c>
      <c r="L23" t="str">
        <f t="shared" si="1"/>
        <v>Social Media</v>
      </c>
    </row>
    <row r="24" spans="1:16" x14ac:dyDescent="0.3">
      <c r="A24" t="s">
        <v>397</v>
      </c>
      <c r="B24" s="1">
        <v>45717.68472222222</v>
      </c>
      <c r="C24" s="1">
        <v>45719.072222222225</v>
      </c>
      <c r="D24" t="s">
        <v>47</v>
      </c>
      <c r="E24" t="s">
        <v>12</v>
      </c>
      <c r="F24" t="s">
        <v>33</v>
      </c>
      <c r="G24" t="s">
        <v>14</v>
      </c>
      <c r="H24" t="s">
        <v>15</v>
      </c>
      <c r="I24">
        <v>33.299999999999997</v>
      </c>
      <c r="J24">
        <v>1</v>
      </c>
      <c r="K24" t="str">
        <f t="shared" si="0"/>
        <v>Product Information</v>
      </c>
      <c r="L24" t="str">
        <f t="shared" si="1"/>
        <v>Email</v>
      </c>
    </row>
    <row r="25" spans="1:16" x14ac:dyDescent="0.3">
      <c r="A25" t="s">
        <v>151</v>
      </c>
      <c r="B25" s="1">
        <v>45717.611111111109</v>
      </c>
      <c r="C25" s="1">
        <v>45719.00277777778</v>
      </c>
      <c r="D25" t="s">
        <v>28</v>
      </c>
      <c r="E25" t="s">
        <v>26</v>
      </c>
      <c r="F25" t="s">
        <v>33</v>
      </c>
      <c r="G25" t="s">
        <v>14</v>
      </c>
      <c r="H25" t="s">
        <v>34</v>
      </c>
      <c r="I25">
        <v>33.4</v>
      </c>
      <c r="J25">
        <v>1</v>
      </c>
      <c r="K25" t="str">
        <f t="shared" si="0"/>
        <v>Account</v>
      </c>
      <c r="L25" t="str">
        <f t="shared" si="1"/>
        <v>Phone</v>
      </c>
    </row>
    <row r="26" spans="1:16" x14ac:dyDescent="0.3">
      <c r="A26" t="s">
        <v>199</v>
      </c>
      <c r="B26" s="1">
        <v>45748.669444444444</v>
      </c>
      <c r="C26" s="1">
        <v>45750.06527777778</v>
      </c>
      <c r="D26" t="s">
        <v>17</v>
      </c>
      <c r="E26" t="s">
        <v>26</v>
      </c>
      <c r="F26" t="s">
        <v>23</v>
      </c>
      <c r="G26" t="s">
        <v>14</v>
      </c>
      <c r="H26" t="s">
        <v>34</v>
      </c>
      <c r="I26">
        <v>33.5</v>
      </c>
      <c r="J26">
        <v>1</v>
      </c>
      <c r="K26" t="str">
        <f t="shared" si="0"/>
        <v>Delivery</v>
      </c>
      <c r="L26" t="str">
        <f t="shared" si="1"/>
        <v>Phone</v>
      </c>
    </row>
    <row r="27" spans="1:16" x14ac:dyDescent="0.3">
      <c r="A27" t="s">
        <v>102</v>
      </c>
      <c r="B27" s="1">
        <v>45817.177083333336</v>
      </c>
      <c r="C27" s="1">
        <v>45818.61041666667</v>
      </c>
      <c r="D27" t="s">
        <v>47</v>
      </c>
      <c r="E27" t="s">
        <v>18</v>
      </c>
      <c r="F27" t="s">
        <v>19</v>
      </c>
      <c r="G27" t="s">
        <v>14</v>
      </c>
      <c r="H27" t="s">
        <v>24</v>
      </c>
      <c r="I27">
        <v>34.4</v>
      </c>
      <c r="J27">
        <v>1</v>
      </c>
      <c r="K27" t="str">
        <f t="shared" si="0"/>
        <v>Product Information</v>
      </c>
      <c r="L27" t="str">
        <f t="shared" si="1"/>
        <v>Chat</v>
      </c>
    </row>
    <row r="28" spans="1:16" x14ac:dyDescent="0.3">
      <c r="A28" t="s">
        <v>468</v>
      </c>
      <c r="B28" s="1">
        <v>45701.783333333333</v>
      </c>
      <c r="C28" s="1">
        <v>45703.262499999997</v>
      </c>
      <c r="D28" t="s">
        <v>36</v>
      </c>
      <c r="E28" t="s">
        <v>22</v>
      </c>
      <c r="F28" t="s">
        <v>19</v>
      </c>
      <c r="G28" t="s">
        <v>14</v>
      </c>
      <c r="H28" t="s">
        <v>15</v>
      </c>
      <c r="I28">
        <v>35.5</v>
      </c>
      <c r="J28">
        <v>1</v>
      </c>
      <c r="K28" t="str">
        <f t="shared" si="0"/>
        <v>Payment</v>
      </c>
      <c r="L28" t="str">
        <f t="shared" si="1"/>
        <v>Social Media</v>
      </c>
    </row>
    <row r="29" spans="1:16" x14ac:dyDescent="0.3">
      <c r="A29" t="s">
        <v>330</v>
      </c>
      <c r="B29" s="1">
        <v>45693.34652777778</v>
      </c>
      <c r="C29" s="1">
        <v>45694.838194444441</v>
      </c>
      <c r="D29" t="s">
        <v>36</v>
      </c>
      <c r="E29" t="s">
        <v>22</v>
      </c>
      <c r="F29" t="s">
        <v>23</v>
      </c>
      <c r="G29" t="s">
        <v>14</v>
      </c>
      <c r="H29" t="s">
        <v>15</v>
      </c>
      <c r="I29">
        <v>35.799999999999997</v>
      </c>
      <c r="J29">
        <v>1</v>
      </c>
      <c r="K29" t="str">
        <f t="shared" si="0"/>
        <v>Payment</v>
      </c>
      <c r="L29" t="str">
        <f t="shared" si="1"/>
        <v>Social Media</v>
      </c>
    </row>
    <row r="30" spans="1:16" x14ac:dyDescent="0.3">
      <c r="A30" t="s">
        <v>143</v>
      </c>
      <c r="B30" s="1">
        <v>45755.529166666667</v>
      </c>
      <c r="C30" s="1">
        <v>45757.025000000001</v>
      </c>
      <c r="D30" t="s">
        <v>36</v>
      </c>
      <c r="E30" t="s">
        <v>26</v>
      </c>
      <c r="F30" t="s">
        <v>13</v>
      </c>
      <c r="G30" t="s">
        <v>14</v>
      </c>
      <c r="H30" t="s">
        <v>41</v>
      </c>
      <c r="I30">
        <v>35.9</v>
      </c>
      <c r="J30">
        <v>1</v>
      </c>
      <c r="K30" t="str">
        <f t="shared" si="0"/>
        <v>Payment</v>
      </c>
      <c r="L30" t="str">
        <f t="shared" si="1"/>
        <v>Phone</v>
      </c>
    </row>
    <row r="31" spans="1:16" x14ac:dyDescent="0.3">
      <c r="A31" t="s">
        <v>373</v>
      </c>
      <c r="B31" s="1">
        <v>45822.881249999999</v>
      </c>
      <c r="C31" s="1">
        <v>45824.481249999997</v>
      </c>
      <c r="D31" t="s">
        <v>47</v>
      </c>
      <c r="E31" t="s">
        <v>18</v>
      </c>
      <c r="F31" t="s">
        <v>19</v>
      </c>
      <c r="G31" t="s">
        <v>14</v>
      </c>
      <c r="H31" t="s">
        <v>30</v>
      </c>
      <c r="I31">
        <v>38.4</v>
      </c>
      <c r="J31">
        <v>1</v>
      </c>
      <c r="K31" t="str">
        <f t="shared" si="0"/>
        <v>Product Information</v>
      </c>
      <c r="L31" t="str">
        <f t="shared" si="1"/>
        <v>Chat</v>
      </c>
      <c r="P31" s="3"/>
    </row>
    <row r="32" spans="1:16" x14ac:dyDescent="0.3">
      <c r="A32" t="s">
        <v>296</v>
      </c>
      <c r="B32" s="1">
        <v>45669.519444444442</v>
      </c>
      <c r="C32" s="1">
        <v>45671.148611111108</v>
      </c>
      <c r="D32" t="s">
        <v>36</v>
      </c>
      <c r="E32" t="s">
        <v>26</v>
      </c>
      <c r="F32" t="s">
        <v>33</v>
      </c>
      <c r="G32" t="s">
        <v>14</v>
      </c>
      <c r="H32" t="s">
        <v>30</v>
      </c>
      <c r="I32">
        <v>39.1</v>
      </c>
      <c r="J32">
        <v>1</v>
      </c>
      <c r="K32" t="str">
        <f t="shared" si="0"/>
        <v>Payment</v>
      </c>
      <c r="L32" t="str">
        <f t="shared" si="1"/>
        <v>Phone</v>
      </c>
      <c r="P32" s="3"/>
    </row>
    <row r="33" spans="1:12" x14ac:dyDescent="0.3">
      <c r="A33" t="s">
        <v>290</v>
      </c>
      <c r="B33" s="1">
        <v>45766.488888888889</v>
      </c>
      <c r="C33" s="1">
        <v>45768.12222222222</v>
      </c>
      <c r="D33" t="s">
        <v>17</v>
      </c>
      <c r="E33" t="s">
        <v>22</v>
      </c>
      <c r="F33" t="s">
        <v>13</v>
      </c>
      <c r="G33" t="s">
        <v>14</v>
      </c>
      <c r="H33" t="s">
        <v>24</v>
      </c>
      <c r="I33">
        <v>39.200000000000003</v>
      </c>
      <c r="J33">
        <v>1</v>
      </c>
      <c r="K33" t="str">
        <f t="shared" si="0"/>
        <v>Delivery</v>
      </c>
      <c r="L33" t="str">
        <f t="shared" si="1"/>
        <v>Social Media</v>
      </c>
    </row>
    <row r="34" spans="1:12" x14ac:dyDescent="0.3">
      <c r="A34" t="s">
        <v>256</v>
      </c>
      <c r="B34" s="1">
        <v>45803.716666666667</v>
      </c>
      <c r="C34" s="1">
        <v>45805.387499999997</v>
      </c>
      <c r="D34" t="s">
        <v>28</v>
      </c>
      <c r="E34" t="s">
        <v>22</v>
      </c>
      <c r="F34" t="s">
        <v>23</v>
      </c>
      <c r="G34" t="s">
        <v>14</v>
      </c>
      <c r="H34" t="s">
        <v>34</v>
      </c>
      <c r="I34">
        <v>40.1</v>
      </c>
      <c r="J34">
        <v>1</v>
      </c>
      <c r="K34" t="str">
        <f t="shared" si="0"/>
        <v>Account</v>
      </c>
      <c r="L34" t="str">
        <f t="shared" si="1"/>
        <v>Social Media</v>
      </c>
    </row>
    <row r="35" spans="1:12" x14ac:dyDescent="0.3">
      <c r="A35" t="s">
        <v>123</v>
      </c>
      <c r="B35" s="1">
        <v>45734.768750000003</v>
      </c>
      <c r="C35" s="1">
        <v>45736.48541666667</v>
      </c>
      <c r="D35" t="s">
        <v>47</v>
      </c>
      <c r="E35" t="s">
        <v>12</v>
      </c>
      <c r="F35" t="s">
        <v>33</v>
      </c>
      <c r="G35" t="s">
        <v>14</v>
      </c>
      <c r="H35" t="s">
        <v>20</v>
      </c>
      <c r="I35">
        <v>41.2</v>
      </c>
      <c r="J35">
        <v>1</v>
      </c>
      <c r="K35" t="str">
        <f t="shared" si="0"/>
        <v>Product Information</v>
      </c>
      <c r="L35" t="str">
        <f t="shared" si="1"/>
        <v>Email</v>
      </c>
    </row>
    <row r="36" spans="1:12" x14ac:dyDescent="0.3">
      <c r="A36" t="s">
        <v>391</v>
      </c>
      <c r="B36" s="1">
        <v>45739.369444444441</v>
      </c>
      <c r="C36" s="1">
        <v>45741.094444444447</v>
      </c>
      <c r="D36" t="s">
        <v>47</v>
      </c>
      <c r="E36" t="s">
        <v>12</v>
      </c>
      <c r="F36" t="s">
        <v>33</v>
      </c>
      <c r="G36" t="s">
        <v>14</v>
      </c>
      <c r="H36" t="s">
        <v>20</v>
      </c>
      <c r="I36">
        <v>41.4</v>
      </c>
      <c r="J36">
        <v>1</v>
      </c>
      <c r="K36" t="str">
        <f t="shared" si="0"/>
        <v>Product Information</v>
      </c>
      <c r="L36" t="str">
        <f t="shared" si="1"/>
        <v>Email</v>
      </c>
    </row>
    <row r="37" spans="1:12" x14ac:dyDescent="0.3">
      <c r="A37" t="s">
        <v>417</v>
      </c>
      <c r="B37" s="1">
        <v>45667.085416666669</v>
      </c>
      <c r="C37" s="1">
        <v>45668.897916666669</v>
      </c>
      <c r="D37" t="s">
        <v>47</v>
      </c>
      <c r="E37" t="s">
        <v>22</v>
      </c>
      <c r="F37" t="s">
        <v>13</v>
      </c>
      <c r="G37" t="s">
        <v>14</v>
      </c>
      <c r="H37" t="s">
        <v>30</v>
      </c>
      <c r="I37">
        <v>43.5</v>
      </c>
      <c r="J37">
        <v>1</v>
      </c>
      <c r="K37" t="str">
        <f t="shared" si="0"/>
        <v>Product Information</v>
      </c>
      <c r="L37" t="str">
        <f t="shared" si="1"/>
        <v>Social Media</v>
      </c>
    </row>
    <row r="38" spans="1:12" x14ac:dyDescent="0.3">
      <c r="A38" t="s">
        <v>82</v>
      </c>
      <c r="B38" s="1">
        <v>45675.915277777778</v>
      </c>
      <c r="C38" s="1">
        <v>45677.794444444444</v>
      </c>
      <c r="D38" t="s">
        <v>11</v>
      </c>
      <c r="E38" t="s">
        <v>26</v>
      </c>
      <c r="F38" t="s">
        <v>23</v>
      </c>
      <c r="G38" t="s">
        <v>14</v>
      </c>
      <c r="H38" t="s">
        <v>15</v>
      </c>
      <c r="I38">
        <v>45.1</v>
      </c>
      <c r="J38">
        <v>1</v>
      </c>
      <c r="K38" t="str">
        <f t="shared" si="0"/>
        <v>Refund</v>
      </c>
      <c r="L38" t="str">
        <f t="shared" si="1"/>
        <v>Phone</v>
      </c>
    </row>
    <row r="39" spans="1:12" x14ac:dyDescent="0.3">
      <c r="A39" t="s">
        <v>395</v>
      </c>
      <c r="B39" s="1">
        <v>45664.31527777778</v>
      </c>
      <c r="C39" s="1">
        <v>45666.231944444444</v>
      </c>
      <c r="D39" t="s">
        <v>32</v>
      </c>
      <c r="E39" t="s">
        <v>12</v>
      </c>
      <c r="F39" t="s">
        <v>19</v>
      </c>
      <c r="G39" t="s">
        <v>14</v>
      </c>
      <c r="H39" t="s">
        <v>24</v>
      </c>
      <c r="I39">
        <v>46</v>
      </c>
      <c r="J39">
        <v>1</v>
      </c>
      <c r="K39" t="str">
        <f t="shared" si="0"/>
        <v>Technical Issue</v>
      </c>
      <c r="L39" t="str">
        <f t="shared" si="1"/>
        <v>Email</v>
      </c>
    </row>
    <row r="40" spans="1:12" x14ac:dyDescent="0.3">
      <c r="A40" t="s">
        <v>424</v>
      </c>
      <c r="B40" s="1">
        <v>45718.472222222219</v>
      </c>
      <c r="C40" s="1">
        <v>45720.388888888891</v>
      </c>
      <c r="D40" t="s">
        <v>11</v>
      </c>
      <c r="E40" t="s">
        <v>26</v>
      </c>
      <c r="F40" t="s">
        <v>19</v>
      </c>
      <c r="G40" t="s">
        <v>14</v>
      </c>
      <c r="H40" t="s">
        <v>39</v>
      </c>
      <c r="I40">
        <v>46</v>
      </c>
      <c r="J40">
        <v>1</v>
      </c>
      <c r="K40" t="str">
        <f t="shared" si="0"/>
        <v>Refund</v>
      </c>
      <c r="L40" t="str">
        <f t="shared" si="1"/>
        <v>Phone</v>
      </c>
    </row>
    <row r="41" spans="1:12" x14ac:dyDescent="0.3">
      <c r="A41" t="s">
        <v>101</v>
      </c>
      <c r="B41" s="1">
        <v>45796.056944444441</v>
      </c>
      <c r="C41" s="1">
        <v>45798.015277777777</v>
      </c>
      <c r="D41" t="s">
        <v>17</v>
      </c>
      <c r="E41" t="s">
        <v>18</v>
      </c>
      <c r="F41" t="s">
        <v>33</v>
      </c>
      <c r="G41" t="s">
        <v>14</v>
      </c>
      <c r="H41" t="s">
        <v>39</v>
      </c>
      <c r="I41">
        <v>47</v>
      </c>
      <c r="J41">
        <v>1</v>
      </c>
      <c r="K41" t="str">
        <f t="shared" si="0"/>
        <v>Delivery</v>
      </c>
      <c r="L41" t="str">
        <f t="shared" si="1"/>
        <v>Chat</v>
      </c>
    </row>
    <row r="42" spans="1:12" x14ac:dyDescent="0.3">
      <c r="A42" t="s">
        <v>203</v>
      </c>
      <c r="B42" s="1">
        <v>45730.518055555556</v>
      </c>
      <c r="C42" s="1">
        <v>45732.55972222222</v>
      </c>
      <c r="D42" t="s">
        <v>11</v>
      </c>
      <c r="E42" t="s">
        <v>26</v>
      </c>
      <c r="F42" t="s">
        <v>13</v>
      </c>
      <c r="G42" t="s">
        <v>14</v>
      </c>
      <c r="H42" t="s">
        <v>30</v>
      </c>
      <c r="I42">
        <v>49</v>
      </c>
      <c r="J42">
        <v>1</v>
      </c>
      <c r="K42" t="str">
        <f t="shared" si="0"/>
        <v>Refund</v>
      </c>
      <c r="L42" t="str">
        <f t="shared" si="1"/>
        <v>Phone</v>
      </c>
    </row>
    <row r="43" spans="1:12" x14ac:dyDescent="0.3">
      <c r="A43" t="s">
        <v>477</v>
      </c>
      <c r="B43" s="1">
        <v>45779.92291666667</v>
      </c>
      <c r="C43" s="1">
        <v>45782.01458333333</v>
      </c>
      <c r="D43" t="s">
        <v>32</v>
      </c>
      <c r="E43" t="s">
        <v>22</v>
      </c>
      <c r="F43" t="s">
        <v>13</v>
      </c>
      <c r="G43" t="s">
        <v>14</v>
      </c>
      <c r="H43" t="s">
        <v>24</v>
      </c>
      <c r="I43">
        <v>50.2</v>
      </c>
      <c r="J43">
        <v>1</v>
      </c>
      <c r="K43" t="str">
        <f t="shared" si="0"/>
        <v>Technical Issue</v>
      </c>
      <c r="L43" t="str">
        <f t="shared" si="1"/>
        <v>Social Media</v>
      </c>
    </row>
    <row r="44" spans="1:12" x14ac:dyDescent="0.3">
      <c r="A44" t="s">
        <v>229</v>
      </c>
      <c r="B44" s="1">
        <v>45752.678472222222</v>
      </c>
      <c r="C44" s="1">
        <v>45754.865972222222</v>
      </c>
      <c r="D44" t="s">
        <v>28</v>
      </c>
      <c r="E44" t="s">
        <v>18</v>
      </c>
      <c r="F44" t="s">
        <v>23</v>
      </c>
      <c r="G44" t="s">
        <v>14</v>
      </c>
      <c r="H44" t="s">
        <v>30</v>
      </c>
      <c r="I44">
        <v>52.5</v>
      </c>
      <c r="J44">
        <v>1</v>
      </c>
      <c r="K44" t="str">
        <f t="shared" si="0"/>
        <v>Account</v>
      </c>
      <c r="L44" t="str">
        <f t="shared" si="1"/>
        <v>Chat</v>
      </c>
    </row>
    <row r="45" spans="1:12" x14ac:dyDescent="0.3">
      <c r="A45" t="s">
        <v>156</v>
      </c>
      <c r="B45" s="1">
        <v>45818.834722222222</v>
      </c>
      <c r="C45" s="1">
        <v>45821.205555555556</v>
      </c>
      <c r="D45" t="s">
        <v>47</v>
      </c>
      <c r="E45" t="s">
        <v>26</v>
      </c>
      <c r="F45" t="s">
        <v>33</v>
      </c>
      <c r="G45" t="s">
        <v>14</v>
      </c>
      <c r="H45" t="s">
        <v>34</v>
      </c>
      <c r="I45">
        <v>56.9</v>
      </c>
      <c r="J45">
        <v>1</v>
      </c>
      <c r="K45" t="str">
        <f t="shared" si="0"/>
        <v>Product Information</v>
      </c>
      <c r="L45" t="str">
        <f t="shared" si="1"/>
        <v>Phone</v>
      </c>
    </row>
    <row r="46" spans="1:12" x14ac:dyDescent="0.3">
      <c r="A46" t="s">
        <v>360</v>
      </c>
      <c r="B46" s="1">
        <v>45815.201388888891</v>
      </c>
      <c r="C46" s="1">
        <v>45817.647222222222</v>
      </c>
      <c r="D46" t="s">
        <v>47</v>
      </c>
      <c r="E46" t="s">
        <v>26</v>
      </c>
      <c r="F46" t="s">
        <v>23</v>
      </c>
      <c r="G46" t="s">
        <v>14</v>
      </c>
      <c r="H46" t="s">
        <v>37</v>
      </c>
      <c r="I46">
        <v>58.7</v>
      </c>
      <c r="J46">
        <v>1</v>
      </c>
      <c r="K46" t="str">
        <f t="shared" si="0"/>
        <v>Product Information</v>
      </c>
      <c r="L46" t="str">
        <f t="shared" si="1"/>
        <v>Phone</v>
      </c>
    </row>
    <row r="47" spans="1:12" x14ac:dyDescent="0.3">
      <c r="A47" t="s">
        <v>109</v>
      </c>
      <c r="B47" s="1">
        <v>45809.347222222219</v>
      </c>
      <c r="C47" s="1">
        <v>45811.843055555553</v>
      </c>
      <c r="D47" t="s">
        <v>32</v>
      </c>
      <c r="E47" t="s">
        <v>22</v>
      </c>
      <c r="F47" t="s">
        <v>33</v>
      </c>
      <c r="G47" t="s">
        <v>14</v>
      </c>
      <c r="H47" t="s">
        <v>41</v>
      </c>
      <c r="I47">
        <v>59.9</v>
      </c>
      <c r="J47">
        <v>1</v>
      </c>
      <c r="K47" t="str">
        <f t="shared" si="0"/>
        <v>Technical Issue</v>
      </c>
      <c r="L47" t="str">
        <f t="shared" si="1"/>
        <v>Social Media</v>
      </c>
    </row>
    <row r="48" spans="1:12" x14ac:dyDescent="0.3">
      <c r="A48" t="s">
        <v>336</v>
      </c>
      <c r="B48" s="1">
        <v>45711.618750000001</v>
      </c>
      <c r="C48" s="1">
        <v>45714.114583333336</v>
      </c>
      <c r="D48" t="s">
        <v>28</v>
      </c>
      <c r="E48" t="s">
        <v>22</v>
      </c>
      <c r="F48" t="s">
        <v>33</v>
      </c>
      <c r="G48" t="s">
        <v>14</v>
      </c>
      <c r="H48" t="s">
        <v>24</v>
      </c>
      <c r="I48">
        <v>59.9</v>
      </c>
      <c r="J48">
        <v>1</v>
      </c>
      <c r="K48" t="str">
        <f t="shared" si="0"/>
        <v>Account</v>
      </c>
      <c r="L48" t="str">
        <f t="shared" si="1"/>
        <v>Social Media</v>
      </c>
    </row>
    <row r="49" spans="1:12" x14ac:dyDescent="0.3">
      <c r="A49" t="s">
        <v>293</v>
      </c>
      <c r="B49" s="1">
        <v>45793.198611111111</v>
      </c>
      <c r="C49" s="1">
        <v>45795.706944444442</v>
      </c>
      <c r="D49" t="s">
        <v>32</v>
      </c>
      <c r="E49" t="s">
        <v>22</v>
      </c>
      <c r="F49" t="s">
        <v>19</v>
      </c>
      <c r="G49" t="s">
        <v>14</v>
      </c>
      <c r="H49" t="s">
        <v>15</v>
      </c>
      <c r="I49">
        <v>60.2</v>
      </c>
      <c r="J49">
        <v>1</v>
      </c>
      <c r="K49" t="str">
        <f t="shared" si="0"/>
        <v>Technical Issue</v>
      </c>
      <c r="L49" t="str">
        <f t="shared" si="1"/>
        <v>Social Media</v>
      </c>
    </row>
    <row r="50" spans="1:12" x14ac:dyDescent="0.3">
      <c r="A50" t="s">
        <v>269</v>
      </c>
      <c r="B50" s="1">
        <v>45695.376388888886</v>
      </c>
      <c r="C50" s="1">
        <v>45698.243055555555</v>
      </c>
      <c r="D50" t="s">
        <v>32</v>
      </c>
      <c r="E50" t="s">
        <v>270</v>
      </c>
      <c r="F50" t="s">
        <v>23</v>
      </c>
      <c r="G50" t="s">
        <v>14</v>
      </c>
      <c r="H50" t="s">
        <v>41</v>
      </c>
      <c r="I50">
        <v>68.8</v>
      </c>
      <c r="J50">
        <v>1</v>
      </c>
      <c r="K50" t="str">
        <f t="shared" si="0"/>
        <v>Technical Issue</v>
      </c>
      <c r="L50" t="str">
        <f t="shared" si="1"/>
        <v>Phone</v>
      </c>
    </row>
    <row r="51" spans="1:12" x14ac:dyDescent="0.3">
      <c r="A51" t="s">
        <v>527</v>
      </c>
      <c r="B51" s="1">
        <v>45831.986805555556</v>
      </c>
      <c r="C51" s="1">
        <v>45834.861805555556</v>
      </c>
      <c r="D51" t="s">
        <v>47</v>
      </c>
      <c r="E51" t="s">
        <v>18</v>
      </c>
      <c r="F51" t="s">
        <v>13</v>
      </c>
      <c r="G51" t="s">
        <v>14</v>
      </c>
      <c r="H51" t="s">
        <v>39</v>
      </c>
      <c r="I51">
        <v>69</v>
      </c>
      <c r="J51">
        <v>1</v>
      </c>
      <c r="K51" t="str">
        <f t="shared" si="0"/>
        <v>Product Information</v>
      </c>
      <c r="L51" t="str">
        <f t="shared" si="1"/>
        <v>Chat</v>
      </c>
    </row>
    <row r="52" spans="1:12" x14ac:dyDescent="0.3">
      <c r="A52" t="s">
        <v>147</v>
      </c>
      <c r="B52" s="1">
        <v>45819.915277777778</v>
      </c>
      <c r="C52" s="1">
        <v>45822.906944444447</v>
      </c>
      <c r="D52" t="s">
        <v>28</v>
      </c>
      <c r="E52" t="s">
        <v>12</v>
      </c>
      <c r="F52" t="s">
        <v>13</v>
      </c>
      <c r="G52" t="s">
        <v>14</v>
      </c>
      <c r="H52" t="s">
        <v>41</v>
      </c>
      <c r="I52">
        <v>71.8</v>
      </c>
      <c r="J52">
        <v>1</v>
      </c>
      <c r="K52" t="str">
        <f t="shared" si="0"/>
        <v>Account</v>
      </c>
      <c r="L52" t="str">
        <f t="shared" si="1"/>
        <v>Email</v>
      </c>
    </row>
    <row r="53" spans="1:12" x14ac:dyDescent="0.3">
      <c r="A53" t="s">
        <v>506</v>
      </c>
      <c r="B53" s="1">
        <v>45766.022916666669</v>
      </c>
      <c r="C53" s="1">
        <v>45766.118750000001</v>
      </c>
      <c r="D53" t="s">
        <v>17</v>
      </c>
      <c r="E53" t="s">
        <v>12</v>
      </c>
      <c r="F53" t="s">
        <v>33</v>
      </c>
      <c r="G53" t="s">
        <v>14</v>
      </c>
      <c r="H53" t="s">
        <v>24</v>
      </c>
      <c r="I53">
        <v>2.2999999999999998</v>
      </c>
      <c r="J53">
        <v>2</v>
      </c>
      <c r="K53" t="str">
        <f t="shared" si="0"/>
        <v>Delivery</v>
      </c>
      <c r="L53" t="str">
        <f t="shared" si="1"/>
        <v>Email</v>
      </c>
    </row>
    <row r="54" spans="1:12" x14ac:dyDescent="0.3">
      <c r="A54" t="s">
        <v>469</v>
      </c>
      <c r="B54" s="1">
        <v>45767.64166666667</v>
      </c>
      <c r="C54" s="1">
        <v>45767.775000000001</v>
      </c>
      <c r="D54" t="s">
        <v>11</v>
      </c>
      <c r="E54" t="s">
        <v>26</v>
      </c>
      <c r="F54" t="s">
        <v>13</v>
      </c>
      <c r="G54" t="s">
        <v>14</v>
      </c>
      <c r="H54" t="s">
        <v>30</v>
      </c>
      <c r="I54">
        <v>3.2</v>
      </c>
      <c r="J54">
        <v>2</v>
      </c>
      <c r="K54" t="str">
        <f t="shared" si="0"/>
        <v>Refund</v>
      </c>
      <c r="L54" t="str">
        <f t="shared" si="1"/>
        <v>Phone</v>
      </c>
    </row>
    <row r="55" spans="1:12" x14ac:dyDescent="0.3">
      <c r="A55" t="s">
        <v>31</v>
      </c>
      <c r="B55" s="1">
        <v>45805.28125</v>
      </c>
      <c r="C55" s="1">
        <v>45805.439583333333</v>
      </c>
      <c r="D55" t="s">
        <v>32</v>
      </c>
      <c r="E55" t="s">
        <v>12</v>
      </c>
      <c r="F55" t="s">
        <v>33</v>
      </c>
      <c r="G55" t="s">
        <v>14</v>
      </c>
      <c r="H55" t="s">
        <v>34</v>
      </c>
      <c r="I55">
        <v>3.8</v>
      </c>
      <c r="J55">
        <v>2</v>
      </c>
      <c r="K55" t="str">
        <f t="shared" si="0"/>
        <v>Technical Issue</v>
      </c>
      <c r="L55" t="str">
        <f t="shared" si="1"/>
        <v>Email</v>
      </c>
    </row>
    <row r="56" spans="1:12" x14ac:dyDescent="0.3">
      <c r="A56" t="s">
        <v>312</v>
      </c>
      <c r="B56" s="1">
        <v>45659.547222222223</v>
      </c>
      <c r="C56" s="1">
        <v>45659.772222222222</v>
      </c>
      <c r="D56" t="s">
        <v>17</v>
      </c>
      <c r="E56" t="s">
        <v>18</v>
      </c>
      <c r="F56" t="s">
        <v>19</v>
      </c>
      <c r="G56" t="s">
        <v>14</v>
      </c>
      <c r="H56" t="s">
        <v>30</v>
      </c>
      <c r="I56">
        <v>5.4</v>
      </c>
      <c r="J56">
        <v>2</v>
      </c>
      <c r="K56" t="str">
        <f t="shared" si="0"/>
        <v>Delivery</v>
      </c>
      <c r="L56" t="str">
        <f t="shared" si="1"/>
        <v>Chat</v>
      </c>
    </row>
    <row r="57" spans="1:12" x14ac:dyDescent="0.3">
      <c r="A57" t="s">
        <v>369</v>
      </c>
      <c r="B57" s="1">
        <v>45681.849305555559</v>
      </c>
      <c r="C57" s="1">
        <v>45682.115972222222</v>
      </c>
      <c r="D57" t="s">
        <v>17</v>
      </c>
      <c r="E57" t="s">
        <v>22</v>
      </c>
      <c r="F57" t="s">
        <v>23</v>
      </c>
      <c r="G57" t="s">
        <v>14</v>
      </c>
      <c r="H57" t="s">
        <v>20</v>
      </c>
      <c r="I57">
        <v>6.4</v>
      </c>
      <c r="J57">
        <v>2</v>
      </c>
      <c r="K57" t="str">
        <f t="shared" si="0"/>
        <v>Delivery</v>
      </c>
      <c r="L57" t="str">
        <f t="shared" si="1"/>
        <v>Social Media</v>
      </c>
    </row>
    <row r="58" spans="1:12" x14ac:dyDescent="0.3">
      <c r="A58" t="s">
        <v>462</v>
      </c>
      <c r="B58" s="1">
        <v>45826.71597222222</v>
      </c>
      <c r="C58" s="1">
        <v>45827.02847222222</v>
      </c>
      <c r="D58" t="s">
        <v>11</v>
      </c>
      <c r="E58" t="s">
        <v>26</v>
      </c>
      <c r="F58" t="s">
        <v>33</v>
      </c>
      <c r="G58" t="s">
        <v>14</v>
      </c>
      <c r="H58" t="s">
        <v>30</v>
      </c>
      <c r="I58">
        <v>7.5</v>
      </c>
      <c r="J58">
        <v>2</v>
      </c>
      <c r="K58" t="str">
        <f t="shared" si="0"/>
        <v>Refund</v>
      </c>
      <c r="L58" t="str">
        <f t="shared" si="1"/>
        <v>Phone</v>
      </c>
    </row>
    <row r="59" spans="1:12" x14ac:dyDescent="0.3">
      <c r="A59" t="s">
        <v>430</v>
      </c>
      <c r="B59" s="1">
        <v>45813.548611111109</v>
      </c>
      <c r="C59" s="1">
        <v>45813.869444444441</v>
      </c>
      <c r="D59" t="s">
        <v>36</v>
      </c>
      <c r="E59" t="s">
        <v>22</v>
      </c>
      <c r="F59" t="s">
        <v>23</v>
      </c>
      <c r="G59" t="s">
        <v>14</v>
      </c>
      <c r="H59" t="s">
        <v>24</v>
      </c>
      <c r="I59">
        <v>7.7</v>
      </c>
      <c r="J59">
        <v>2</v>
      </c>
      <c r="K59" t="str">
        <f t="shared" si="0"/>
        <v>Payment</v>
      </c>
      <c r="L59" t="str">
        <f t="shared" si="1"/>
        <v>Social Media</v>
      </c>
    </row>
    <row r="60" spans="1:12" x14ac:dyDescent="0.3">
      <c r="A60" t="s">
        <v>342</v>
      </c>
      <c r="B60" s="1">
        <v>45684.393055555556</v>
      </c>
      <c r="C60" s="1">
        <v>45684.759722222225</v>
      </c>
      <c r="D60" t="s">
        <v>32</v>
      </c>
      <c r="E60" t="s">
        <v>26</v>
      </c>
      <c r="F60" t="s">
        <v>23</v>
      </c>
      <c r="G60" t="s">
        <v>14</v>
      </c>
      <c r="H60" t="s">
        <v>41</v>
      </c>
      <c r="I60">
        <v>8.8000000000000007</v>
      </c>
      <c r="J60">
        <v>2</v>
      </c>
      <c r="K60" t="str">
        <f t="shared" si="0"/>
        <v>Technical Issue</v>
      </c>
      <c r="L60" t="str">
        <f t="shared" si="1"/>
        <v>Phone</v>
      </c>
    </row>
    <row r="61" spans="1:12" x14ac:dyDescent="0.3">
      <c r="A61" t="s">
        <v>384</v>
      </c>
      <c r="B61" s="1">
        <v>45737.907638888886</v>
      </c>
      <c r="C61" s="1">
        <v>45738.282638888886</v>
      </c>
      <c r="D61" t="s">
        <v>11</v>
      </c>
      <c r="E61" t="s">
        <v>12</v>
      </c>
      <c r="F61" t="s">
        <v>33</v>
      </c>
      <c r="G61" t="s">
        <v>14</v>
      </c>
      <c r="H61" t="s">
        <v>41</v>
      </c>
      <c r="I61">
        <v>9</v>
      </c>
      <c r="J61">
        <v>2</v>
      </c>
      <c r="K61" t="str">
        <f t="shared" si="0"/>
        <v>Refund</v>
      </c>
      <c r="L61" t="str">
        <f t="shared" si="1"/>
        <v>Email</v>
      </c>
    </row>
    <row r="62" spans="1:12" x14ac:dyDescent="0.3">
      <c r="A62" t="s">
        <v>196</v>
      </c>
      <c r="B62" s="1">
        <v>45823.177083333336</v>
      </c>
      <c r="C62" s="1">
        <v>45823.635416666664</v>
      </c>
      <c r="D62" t="s">
        <v>36</v>
      </c>
      <c r="E62" t="s">
        <v>18</v>
      </c>
      <c r="F62" t="s">
        <v>13</v>
      </c>
      <c r="G62" t="s">
        <v>14</v>
      </c>
      <c r="H62" t="s">
        <v>37</v>
      </c>
      <c r="I62">
        <v>11</v>
      </c>
      <c r="J62">
        <v>2</v>
      </c>
      <c r="K62" t="str">
        <f t="shared" si="0"/>
        <v>Payment</v>
      </c>
      <c r="L62" t="str">
        <f t="shared" si="1"/>
        <v>Chat</v>
      </c>
    </row>
    <row r="63" spans="1:12" x14ac:dyDescent="0.3">
      <c r="A63" t="s">
        <v>294</v>
      </c>
      <c r="B63" s="1">
        <v>45716.311805555553</v>
      </c>
      <c r="C63" s="1">
        <v>45716.795138888891</v>
      </c>
      <c r="D63" t="s">
        <v>11</v>
      </c>
      <c r="E63" t="s">
        <v>12</v>
      </c>
      <c r="F63" t="s">
        <v>13</v>
      </c>
      <c r="G63" t="s">
        <v>14</v>
      </c>
      <c r="H63" t="s">
        <v>15</v>
      </c>
      <c r="I63">
        <v>11.6</v>
      </c>
      <c r="J63">
        <v>2</v>
      </c>
      <c r="K63" t="str">
        <f t="shared" si="0"/>
        <v>Refund</v>
      </c>
      <c r="L63" t="str">
        <f t="shared" si="1"/>
        <v>Email</v>
      </c>
    </row>
    <row r="64" spans="1:12" x14ac:dyDescent="0.3">
      <c r="A64" t="s">
        <v>385</v>
      </c>
      <c r="B64" s="1">
        <v>45746.689583333333</v>
      </c>
      <c r="C64" s="1">
        <v>45747.206250000003</v>
      </c>
      <c r="D64" t="s">
        <v>11</v>
      </c>
      <c r="E64" t="s">
        <v>26</v>
      </c>
      <c r="F64" t="s">
        <v>13</v>
      </c>
      <c r="G64" t="s">
        <v>14</v>
      </c>
      <c r="H64" t="s">
        <v>39</v>
      </c>
      <c r="I64">
        <v>12.4</v>
      </c>
      <c r="J64">
        <v>2</v>
      </c>
      <c r="K64" t="str">
        <f t="shared" si="0"/>
        <v>Refund</v>
      </c>
      <c r="L64" t="str">
        <f t="shared" si="1"/>
        <v>Phone</v>
      </c>
    </row>
    <row r="65" spans="1:12" x14ac:dyDescent="0.3">
      <c r="A65" t="s">
        <v>511</v>
      </c>
      <c r="B65" s="1">
        <v>45733.59097222222</v>
      </c>
      <c r="C65" s="1">
        <v>45734.170138888891</v>
      </c>
      <c r="D65" t="s">
        <v>11</v>
      </c>
      <c r="E65" t="s">
        <v>12</v>
      </c>
      <c r="F65" t="s">
        <v>19</v>
      </c>
      <c r="G65" t="s">
        <v>14</v>
      </c>
      <c r="H65" t="s">
        <v>39</v>
      </c>
      <c r="I65">
        <v>13.9</v>
      </c>
      <c r="J65">
        <v>2</v>
      </c>
      <c r="K65" t="str">
        <f t="shared" si="0"/>
        <v>Refund</v>
      </c>
      <c r="L65" t="str">
        <f t="shared" si="1"/>
        <v>Email</v>
      </c>
    </row>
    <row r="66" spans="1:12" x14ac:dyDescent="0.3">
      <c r="A66" t="s">
        <v>304</v>
      </c>
      <c r="B66" s="1">
        <v>45711.429861111108</v>
      </c>
      <c r="C66" s="1">
        <v>45712.079861111109</v>
      </c>
      <c r="D66" t="s">
        <v>11</v>
      </c>
      <c r="E66" t="s">
        <v>12</v>
      </c>
      <c r="F66" t="s">
        <v>19</v>
      </c>
      <c r="G66" t="s">
        <v>14</v>
      </c>
      <c r="H66" t="s">
        <v>20</v>
      </c>
      <c r="I66">
        <v>15.6</v>
      </c>
      <c r="J66">
        <v>2</v>
      </c>
      <c r="K66" t="str">
        <f t="shared" ref="K66:K129" si="2">TRIM(D66)</f>
        <v>Refund</v>
      </c>
      <c r="L66" t="str">
        <f t="shared" ref="L66:L129" si="3">TRIM(E66)</f>
        <v>Email</v>
      </c>
    </row>
    <row r="67" spans="1:12" x14ac:dyDescent="0.3">
      <c r="A67" t="s">
        <v>155</v>
      </c>
      <c r="B67" s="1">
        <v>45731.318055555559</v>
      </c>
      <c r="C67" s="1">
        <v>45731.993055555555</v>
      </c>
      <c r="D67" t="s">
        <v>47</v>
      </c>
      <c r="E67" t="s">
        <v>26</v>
      </c>
      <c r="F67" t="s">
        <v>33</v>
      </c>
      <c r="G67" t="s">
        <v>14</v>
      </c>
      <c r="H67" t="s">
        <v>34</v>
      </c>
      <c r="I67">
        <v>16.2</v>
      </c>
      <c r="J67">
        <v>2</v>
      </c>
      <c r="K67" t="str">
        <f t="shared" si="2"/>
        <v>Product Information</v>
      </c>
      <c r="L67" t="str">
        <f t="shared" si="3"/>
        <v>Phone</v>
      </c>
    </row>
    <row r="68" spans="1:12" x14ac:dyDescent="0.3">
      <c r="A68" t="s">
        <v>113</v>
      </c>
      <c r="B68" s="1">
        <v>45772.003472222219</v>
      </c>
      <c r="C68" s="1">
        <v>45772.682638888888</v>
      </c>
      <c r="D68" t="s">
        <v>32</v>
      </c>
      <c r="E68" t="s">
        <v>26</v>
      </c>
      <c r="F68" t="s">
        <v>19</v>
      </c>
      <c r="G68" t="s">
        <v>14</v>
      </c>
      <c r="H68" t="s">
        <v>30</v>
      </c>
      <c r="I68">
        <v>16.3</v>
      </c>
      <c r="J68">
        <v>2</v>
      </c>
      <c r="K68" t="str">
        <f t="shared" si="2"/>
        <v>Technical Issue</v>
      </c>
      <c r="L68" t="str">
        <f t="shared" si="3"/>
        <v>Phone</v>
      </c>
    </row>
    <row r="69" spans="1:12" x14ac:dyDescent="0.3">
      <c r="A69" t="s">
        <v>297</v>
      </c>
      <c r="B69" s="1">
        <v>45805.825694444444</v>
      </c>
      <c r="C69" s="1">
        <v>45806.550694444442</v>
      </c>
      <c r="D69" t="s">
        <v>11</v>
      </c>
      <c r="E69" t="s">
        <v>18</v>
      </c>
      <c r="F69" t="s">
        <v>19</v>
      </c>
      <c r="G69" t="s">
        <v>14</v>
      </c>
      <c r="H69" t="s">
        <v>24</v>
      </c>
      <c r="I69">
        <v>17.399999999999999</v>
      </c>
      <c r="J69">
        <v>2</v>
      </c>
      <c r="K69" t="str">
        <f t="shared" si="2"/>
        <v>Refund</v>
      </c>
      <c r="L69" t="str">
        <f t="shared" si="3"/>
        <v>Chat</v>
      </c>
    </row>
    <row r="70" spans="1:12" x14ac:dyDescent="0.3">
      <c r="A70" t="s">
        <v>49</v>
      </c>
      <c r="B70" s="1">
        <v>45686.49722222222</v>
      </c>
      <c r="C70" s="1">
        <v>45687.230555555558</v>
      </c>
      <c r="D70" t="s">
        <v>47</v>
      </c>
      <c r="E70" t="s">
        <v>12</v>
      </c>
      <c r="F70" t="s">
        <v>13</v>
      </c>
      <c r="G70" t="s">
        <v>14</v>
      </c>
      <c r="H70" t="s">
        <v>41</v>
      </c>
      <c r="I70">
        <v>17.600000000000001</v>
      </c>
      <c r="J70">
        <v>2</v>
      </c>
      <c r="K70" t="str">
        <f t="shared" si="2"/>
        <v>Product Information</v>
      </c>
      <c r="L70" t="str">
        <f t="shared" si="3"/>
        <v>Email</v>
      </c>
    </row>
    <row r="71" spans="1:12" x14ac:dyDescent="0.3">
      <c r="A71" t="s">
        <v>10</v>
      </c>
      <c r="B71" s="1">
        <v>45821.125694444447</v>
      </c>
      <c r="C71" s="1">
        <v>45821.875694444447</v>
      </c>
      <c r="D71" t="s">
        <v>11</v>
      </c>
      <c r="E71" t="s">
        <v>12</v>
      </c>
      <c r="F71" t="s">
        <v>13</v>
      </c>
      <c r="G71" t="s">
        <v>14</v>
      </c>
      <c r="H71" t="s">
        <v>15</v>
      </c>
      <c r="I71">
        <v>18</v>
      </c>
      <c r="J71">
        <v>2</v>
      </c>
      <c r="K71" t="str">
        <f t="shared" si="2"/>
        <v>Refund</v>
      </c>
      <c r="L71" t="str">
        <f t="shared" si="3"/>
        <v>Email</v>
      </c>
    </row>
    <row r="72" spans="1:12" x14ac:dyDescent="0.3">
      <c r="A72" t="s">
        <v>42</v>
      </c>
      <c r="B72" s="1">
        <v>45759.853472222225</v>
      </c>
      <c r="C72" s="1">
        <v>45760.661805555559</v>
      </c>
      <c r="D72" t="s">
        <v>11</v>
      </c>
      <c r="E72" t="s">
        <v>26</v>
      </c>
      <c r="F72" t="s">
        <v>19</v>
      </c>
      <c r="G72" t="s">
        <v>14</v>
      </c>
      <c r="H72" t="s">
        <v>15</v>
      </c>
      <c r="I72">
        <v>19.399999999999999</v>
      </c>
      <c r="J72">
        <v>2</v>
      </c>
      <c r="K72" t="str">
        <f t="shared" si="2"/>
        <v>Refund</v>
      </c>
      <c r="L72" t="str">
        <f t="shared" si="3"/>
        <v>Phone</v>
      </c>
    </row>
    <row r="73" spans="1:12" x14ac:dyDescent="0.3">
      <c r="A73" t="s">
        <v>84</v>
      </c>
      <c r="B73" s="1">
        <v>45761.745138888888</v>
      </c>
      <c r="C73" s="1">
        <v>45762.670138888891</v>
      </c>
      <c r="D73" t="s">
        <v>28</v>
      </c>
      <c r="E73" t="s">
        <v>26</v>
      </c>
      <c r="F73" t="s">
        <v>19</v>
      </c>
      <c r="G73" t="s">
        <v>14</v>
      </c>
      <c r="H73" t="s">
        <v>41</v>
      </c>
      <c r="I73">
        <v>22.2</v>
      </c>
      <c r="J73">
        <v>2</v>
      </c>
      <c r="K73" t="str">
        <f t="shared" si="2"/>
        <v>Account</v>
      </c>
      <c r="L73" t="str">
        <f t="shared" si="3"/>
        <v>Phone</v>
      </c>
    </row>
    <row r="74" spans="1:12" x14ac:dyDescent="0.3">
      <c r="A74" t="s">
        <v>412</v>
      </c>
      <c r="B74" s="1">
        <v>45757.34097222222</v>
      </c>
      <c r="C74" s="1">
        <v>45758.311805555553</v>
      </c>
      <c r="D74" t="s">
        <v>17</v>
      </c>
      <c r="E74" t="s">
        <v>26</v>
      </c>
      <c r="F74" t="s">
        <v>13</v>
      </c>
      <c r="G74" t="s">
        <v>14</v>
      </c>
      <c r="H74" t="s">
        <v>41</v>
      </c>
      <c r="I74">
        <v>23.3</v>
      </c>
      <c r="J74">
        <v>2</v>
      </c>
      <c r="K74" t="str">
        <f t="shared" si="2"/>
        <v>Delivery</v>
      </c>
      <c r="L74" t="str">
        <f t="shared" si="3"/>
        <v>Phone</v>
      </c>
    </row>
    <row r="75" spans="1:12" x14ac:dyDescent="0.3">
      <c r="A75" t="s">
        <v>420</v>
      </c>
      <c r="B75" s="1">
        <v>45808.13958333333</v>
      </c>
      <c r="C75" s="1">
        <v>45809.122916666667</v>
      </c>
      <c r="D75" t="s">
        <v>11</v>
      </c>
      <c r="E75" t="s">
        <v>22</v>
      </c>
      <c r="F75" t="s">
        <v>19</v>
      </c>
      <c r="G75" t="s">
        <v>14</v>
      </c>
      <c r="H75" t="s">
        <v>30</v>
      </c>
      <c r="I75">
        <v>23.6</v>
      </c>
      <c r="J75">
        <v>2</v>
      </c>
      <c r="K75" t="str">
        <f t="shared" si="2"/>
        <v>Refund</v>
      </c>
      <c r="L75" t="str">
        <f t="shared" si="3"/>
        <v>Social Media</v>
      </c>
    </row>
    <row r="76" spans="1:12" x14ac:dyDescent="0.3">
      <c r="A76" t="s">
        <v>418</v>
      </c>
      <c r="B76" s="1">
        <v>45815.285416666666</v>
      </c>
      <c r="C76" s="1">
        <v>45816.322916666664</v>
      </c>
      <c r="D76" t="s">
        <v>32</v>
      </c>
      <c r="E76" t="s">
        <v>12</v>
      </c>
      <c r="F76" t="s">
        <v>13</v>
      </c>
      <c r="G76" t="s">
        <v>14</v>
      </c>
      <c r="H76" t="s">
        <v>37</v>
      </c>
      <c r="I76">
        <v>24.9</v>
      </c>
      <c r="J76">
        <v>2</v>
      </c>
      <c r="K76" t="str">
        <f t="shared" si="2"/>
        <v>Technical Issue</v>
      </c>
      <c r="L76" t="str">
        <f t="shared" si="3"/>
        <v>Email</v>
      </c>
    </row>
    <row r="77" spans="1:12" x14ac:dyDescent="0.3">
      <c r="A77" t="s">
        <v>515</v>
      </c>
      <c r="B77" s="1">
        <v>45797.725694444445</v>
      </c>
      <c r="C77" s="1">
        <v>45798.788194444445</v>
      </c>
      <c r="D77" t="s">
        <v>11</v>
      </c>
      <c r="E77" t="s">
        <v>26</v>
      </c>
      <c r="F77" t="s">
        <v>23</v>
      </c>
      <c r="G77" t="s">
        <v>14</v>
      </c>
      <c r="H77" t="s">
        <v>30</v>
      </c>
      <c r="I77">
        <v>25.5</v>
      </c>
      <c r="J77">
        <v>2</v>
      </c>
      <c r="K77" t="str">
        <f t="shared" si="2"/>
        <v>Refund</v>
      </c>
      <c r="L77" t="str">
        <f t="shared" si="3"/>
        <v>Phone</v>
      </c>
    </row>
    <row r="78" spans="1:12" x14ac:dyDescent="0.3">
      <c r="A78" t="s">
        <v>408</v>
      </c>
      <c r="B78" s="1">
        <v>45755.893750000003</v>
      </c>
      <c r="C78" s="1">
        <v>45756.96875</v>
      </c>
      <c r="D78" t="s">
        <v>32</v>
      </c>
      <c r="E78" t="s">
        <v>26</v>
      </c>
      <c r="F78" t="s">
        <v>19</v>
      </c>
      <c r="G78" t="s">
        <v>14</v>
      </c>
      <c r="H78" t="s">
        <v>37</v>
      </c>
      <c r="I78">
        <v>25.8</v>
      </c>
      <c r="J78">
        <v>2</v>
      </c>
      <c r="K78" t="str">
        <f t="shared" si="2"/>
        <v>Technical Issue</v>
      </c>
      <c r="L78" t="str">
        <f t="shared" si="3"/>
        <v>Phone</v>
      </c>
    </row>
    <row r="79" spans="1:12" x14ac:dyDescent="0.3">
      <c r="A79" t="s">
        <v>170</v>
      </c>
      <c r="B79" s="1">
        <v>45827.005555555559</v>
      </c>
      <c r="C79" s="1">
        <v>45828.093055555553</v>
      </c>
      <c r="D79" t="s">
        <v>47</v>
      </c>
      <c r="E79" t="s">
        <v>26</v>
      </c>
      <c r="F79" t="s">
        <v>13</v>
      </c>
      <c r="G79" t="s">
        <v>14</v>
      </c>
      <c r="H79" t="s">
        <v>37</v>
      </c>
      <c r="I79">
        <v>26.1</v>
      </c>
      <c r="J79">
        <v>2</v>
      </c>
      <c r="K79" t="str">
        <f t="shared" si="2"/>
        <v>Product Information</v>
      </c>
      <c r="L79" t="str">
        <f t="shared" si="3"/>
        <v>Phone</v>
      </c>
    </row>
    <row r="80" spans="1:12" x14ac:dyDescent="0.3">
      <c r="A80" t="s">
        <v>331</v>
      </c>
      <c r="B80" s="1">
        <v>45734.659722222219</v>
      </c>
      <c r="C80" s="1">
        <v>45735.755555555559</v>
      </c>
      <c r="D80" t="s">
        <v>11</v>
      </c>
      <c r="E80" t="s">
        <v>22</v>
      </c>
      <c r="F80" t="s">
        <v>33</v>
      </c>
      <c r="G80" t="s">
        <v>14</v>
      </c>
      <c r="H80" t="s">
        <v>41</v>
      </c>
      <c r="I80">
        <v>26.3</v>
      </c>
      <c r="J80">
        <v>2</v>
      </c>
      <c r="K80" t="str">
        <f t="shared" si="2"/>
        <v>Refund</v>
      </c>
      <c r="L80" t="str">
        <f t="shared" si="3"/>
        <v>Social Media</v>
      </c>
    </row>
    <row r="81" spans="1:12" x14ac:dyDescent="0.3">
      <c r="A81" t="s">
        <v>538</v>
      </c>
      <c r="B81" s="1">
        <v>45797.729166666664</v>
      </c>
      <c r="C81" s="1">
        <v>45798.841666666667</v>
      </c>
      <c r="D81" t="s">
        <v>47</v>
      </c>
      <c r="E81" t="s">
        <v>26</v>
      </c>
      <c r="F81" t="s">
        <v>33</v>
      </c>
      <c r="G81" t="s">
        <v>14</v>
      </c>
      <c r="H81" t="s">
        <v>41</v>
      </c>
      <c r="I81">
        <v>26.7</v>
      </c>
      <c r="J81">
        <v>2</v>
      </c>
      <c r="K81" t="str">
        <f t="shared" si="2"/>
        <v>Product Information</v>
      </c>
      <c r="L81" t="str">
        <f t="shared" si="3"/>
        <v>Phone</v>
      </c>
    </row>
    <row r="82" spans="1:12" x14ac:dyDescent="0.3">
      <c r="A82" t="s">
        <v>351</v>
      </c>
      <c r="B82" s="1">
        <v>45719.379861111112</v>
      </c>
      <c r="C82" s="1">
        <v>45720.513194444444</v>
      </c>
      <c r="D82" t="s">
        <v>47</v>
      </c>
      <c r="E82" t="s">
        <v>22</v>
      </c>
      <c r="F82" t="s">
        <v>19</v>
      </c>
      <c r="G82" t="s">
        <v>14</v>
      </c>
      <c r="H82" t="s">
        <v>41</v>
      </c>
      <c r="I82">
        <v>27.2</v>
      </c>
      <c r="J82">
        <v>2</v>
      </c>
      <c r="K82" t="str">
        <f t="shared" si="2"/>
        <v>Product Information</v>
      </c>
      <c r="L82" t="str">
        <f t="shared" si="3"/>
        <v>Social Media</v>
      </c>
    </row>
    <row r="83" spans="1:12" x14ac:dyDescent="0.3">
      <c r="A83" t="s">
        <v>178</v>
      </c>
      <c r="B83" s="1">
        <v>45767.445833333331</v>
      </c>
      <c r="C83" s="1">
        <v>45768.583333333336</v>
      </c>
      <c r="D83" t="s">
        <v>11</v>
      </c>
      <c r="E83" t="s">
        <v>22</v>
      </c>
      <c r="F83" t="s">
        <v>13</v>
      </c>
      <c r="G83" t="s">
        <v>14</v>
      </c>
      <c r="H83" t="s">
        <v>34</v>
      </c>
      <c r="I83">
        <v>27.3</v>
      </c>
      <c r="J83">
        <v>2</v>
      </c>
      <c r="K83" t="str">
        <f t="shared" si="2"/>
        <v>Refund</v>
      </c>
      <c r="L83" t="str">
        <f t="shared" si="3"/>
        <v>Social Media</v>
      </c>
    </row>
    <row r="84" spans="1:12" x14ac:dyDescent="0.3">
      <c r="A84" t="s">
        <v>305</v>
      </c>
      <c r="B84" s="1">
        <v>45836.822916666664</v>
      </c>
      <c r="C84" s="1">
        <v>45838.027083333334</v>
      </c>
      <c r="D84" t="s">
        <v>47</v>
      </c>
      <c r="E84" t="s">
        <v>26</v>
      </c>
      <c r="F84" t="s">
        <v>23</v>
      </c>
      <c r="G84" t="s">
        <v>14</v>
      </c>
      <c r="H84" t="s">
        <v>15</v>
      </c>
      <c r="I84">
        <v>28.9</v>
      </c>
      <c r="J84">
        <v>2</v>
      </c>
      <c r="K84" t="str">
        <f t="shared" si="2"/>
        <v>Product Information</v>
      </c>
      <c r="L84" t="str">
        <f t="shared" si="3"/>
        <v>Phone</v>
      </c>
    </row>
    <row r="85" spans="1:12" x14ac:dyDescent="0.3">
      <c r="A85" t="s">
        <v>398</v>
      </c>
      <c r="B85" s="1">
        <v>45677.775000000001</v>
      </c>
      <c r="C85" s="1">
        <v>45679.091666666667</v>
      </c>
      <c r="D85" t="s">
        <v>36</v>
      </c>
      <c r="E85" t="s">
        <v>26</v>
      </c>
      <c r="F85" t="s">
        <v>23</v>
      </c>
      <c r="G85" t="s">
        <v>14</v>
      </c>
      <c r="H85" t="s">
        <v>30</v>
      </c>
      <c r="I85">
        <v>31.6</v>
      </c>
      <c r="J85">
        <v>2</v>
      </c>
      <c r="K85" t="str">
        <f t="shared" si="2"/>
        <v>Payment</v>
      </c>
      <c r="L85" t="str">
        <f t="shared" si="3"/>
        <v>Phone</v>
      </c>
    </row>
    <row r="86" spans="1:12" x14ac:dyDescent="0.3">
      <c r="A86" t="s">
        <v>503</v>
      </c>
      <c r="B86" s="1">
        <v>45728.51458333333</v>
      </c>
      <c r="C86" s="1">
        <v>45729.885416666664</v>
      </c>
      <c r="D86" t="s">
        <v>36</v>
      </c>
      <c r="E86" t="s">
        <v>22</v>
      </c>
      <c r="F86" t="s">
        <v>23</v>
      </c>
      <c r="G86" t="s">
        <v>14</v>
      </c>
      <c r="H86" t="s">
        <v>30</v>
      </c>
      <c r="I86">
        <v>32.9</v>
      </c>
      <c r="J86">
        <v>2</v>
      </c>
      <c r="K86" t="str">
        <f t="shared" si="2"/>
        <v>Payment</v>
      </c>
      <c r="L86" t="str">
        <f t="shared" si="3"/>
        <v>Social Media</v>
      </c>
    </row>
    <row r="87" spans="1:12" x14ac:dyDescent="0.3">
      <c r="A87" t="s">
        <v>315</v>
      </c>
      <c r="B87" s="1">
        <v>45703.165277777778</v>
      </c>
      <c r="C87" s="1">
        <v>45704.748611111114</v>
      </c>
      <c r="D87" t="s">
        <v>36</v>
      </c>
      <c r="E87" t="s">
        <v>26</v>
      </c>
      <c r="F87" t="s">
        <v>23</v>
      </c>
      <c r="G87" t="s">
        <v>14</v>
      </c>
      <c r="H87" t="s">
        <v>24</v>
      </c>
      <c r="I87">
        <v>38</v>
      </c>
      <c r="J87">
        <v>2</v>
      </c>
      <c r="K87" t="str">
        <f t="shared" si="2"/>
        <v>Payment</v>
      </c>
      <c r="L87" t="str">
        <f t="shared" si="3"/>
        <v>Phone</v>
      </c>
    </row>
    <row r="88" spans="1:12" x14ac:dyDescent="0.3">
      <c r="A88" t="s">
        <v>83</v>
      </c>
      <c r="B88" s="1">
        <v>45741.530555555553</v>
      </c>
      <c r="C88" s="1">
        <v>45743.201388888891</v>
      </c>
      <c r="D88" t="s">
        <v>28</v>
      </c>
      <c r="E88" t="s">
        <v>22</v>
      </c>
      <c r="F88" t="s">
        <v>33</v>
      </c>
      <c r="G88" t="s">
        <v>14</v>
      </c>
      <c r="H88" t="s">
        <v>24</v>
      </c>
      <c r="I88">
        <v>40.1</v>
      </c>
      <c r="J88">
        <v>2</v>
      </c>
      <c r="K88" t="str">
        <f t="shared" si="2"/>
        <v>Account</v>
      </c>
      <c r="L88" t="str">
        <f t="shared" si="3"/>
        <v>Social Media</v>
      </c>
    </row>
    <row r="89" spans="1:12" x14ac:dyDescent="0.3">
      <c r="A89" t="s">
        <v>221</v>
      </c>
      <c r="B89" s="1">
        <v>45658.806944444441</v>
      </c>
      <c r="C89" s="1">
        <v>45660.527777777781</v>
      </c>
      <c r="D89" t="s">
        <v>11</v>
      </c>
      <c r="E89" t="s">
        <v>12</v>
      </c>
      <c r="F89" t="s">
        <v>23</v>
      </c>
      <c r="G89" t="s">
        <v>14</v>
      </c>
      <c r="H89" t="s">
        <v>34</v>
      </c>
      <c r="I89">
        <v>41.3</v>
      </c>
      <c r="J89">
        <v>2</v>
      </c>
      <c r="K89" t="str">
        <f t="shared" si="2"/>
        <v>Refund</v>
      </c>
      <c r="L89" t="str">
        <f t="shared" si="3"/>
        <v>Email</v>
      </c>
    </row>
    <row r="90" spans="1:12" x14ac:dyDescent="0.3">
      <c r="A90" t="s">
        <v>142</v>
      </c>
      <c r="B90" s="1">
        <v>45740.280555555553</v>
      </c>
      <c r="C90" s="1">
        <v>45742.005555555559</v>
      </c>
      <c r="D90" t="s">
        <v>28</v>
      </c>
      <c r="E90" t="s">
        <v>12</v>
      </c>
      <c r="F90" t="s">
        <v>23</v>
      </c>
      <c r="G90" t="s">
        <v>14</v>
      </c>
      <c r="H90" t="s">
        <v>41</v>
      </c>
      <c r="I90">
        <v>41.4</v>
      </c>
      <c r="J90">
        <v>2</v>
      </c>
      <c r="K90" t="str">
        <f t="shared" si="2"/>
        <v>Account</v>
      </c>
      <c r="L90" t="str">
        <f t="shared" si="3"/>
        <v>Email</v>
      </c>
    </row>
    <row r="91" spans="1:12" x14ac:dyDescent="0.3">
      <c r="A91" t="s">
        <v>470</v>
      </c>
      <c r="B91" s="1">
        <v>45793.250694444447</v>
      </c>
      <c r="C91" s="1">
        <v>45795.138194444444</v>
      </c>
      <c r="D91" t="s">
        <v>36</v>
      </c>
      <c r="E91" t="s">
        <v>26</v>
      </c>
      <c r="F91" t="s">
        <v>23</v>
      </c>
      <c r="G91" t="s">
        <v>14</v>
      </c>
      <c r="H91" t="s">
        <v>37</v>
      </c>
      <c r="I91">
        <v>45.3</v>
      </c>
      <c r="J91">
        <v>2</v>
      </c>
      <c r="K91" t="str">
        <f t="shared" si="2"/>
        <v>Payment</v>
      </c>
      <c r="L91" t="str">
        <f t="shared" si="3"/>
        <v>Phone</v>
      </c>
    </row>
    <row r="92" spans="1:12" x14ac:dyDescent="0.3">
      <c r="A92" t="s">
        <v>275</v>
      </c>
      <c r="B92" s="1">
        <v>45731.835416666669</v>
      </c>
      <c r="C92" s="1">
        <v>45733.79791666667</v>
      </c>
      <c r="D92" t="s">
        <v>47</v>
      </c>
      <c r="E92" t="s">
        <v>12</v>
      </c>
      <c r="F92" t="s">
        <v>33</v>
      </c>
      <c r="G92" t="s">
        <v>14</v>
      </c>
      <c r="H92" t="s">
        <v>15</v>
      </c>
      <c r="I92">
        <v>47.1</v>
      </c>
      <c r="J92">
        <v>2</v>
      </c>
      <c r="K92" t="str">
        <f t="shared" si="2"/>
        <v>Product Information</v>
      </c>
      <c r="L92" t="str">
        <f t="shared" si="3"/>
        <v>Email</v>
      </c>
    </row>
    <row r="93" spans="1:12" x14ac:dyDescent="0.3">
      <c r="A93" t="s">
        <v>484</v>
      </c>
      <c r="B93" s="1">
        <v>45682.041666666664</v>
      </c>
      <c r="C93" s="1">
        <v>45684.037499999999</v>
      </c>
      <c r="D93" t="s">
        <v>32</v>
      </c>
      <c r="E93" t="s">
        <v>26</v>
      </c>
      <c r="F93" t="s">
        <v>19</v>
      </c>
      <c r="G93" t="s">
        <v>14</v>
      </c>
      <c r="H93" t="s">
        <v>24</v>
      </c>
      <c r="I93">
        <v>47.9</v>
      </c>
      <c r="J93">
        <v>2</v>
      </c>
      <c r="K93" t="str">
        <f t="shared" si="2"/>
        <v>Technical Issue</v>
      </c>
      <c r="L93" t="str">
        <f t="shared" si="3"/>
        <v>Phone</v>
      </c>
    </row>
    <row r="94" spans="1:12" x14ac:dyDescent="0.3">
      <c r="A94" t="s">
        <v>451</v>
      </c>
      <c r="B94" s="1">
        <v>45776.684027777781</v>
      </c>
      <c r="C94" s="1">
        <v>45778.734027777777</v>
      </c>
      <c r="D94" t="s">
        <v>32</v>
      </c>
      <c r="E94" t="s">
        <v>22</v>
      </c>
      <c r="F94" t="s">
        <v>19</v>
      </c>
      <c r="G94" t="s">
        <v>14</v>
      </c>
      <c r="H94" t="s">
        <v>37</v>
      </c>
      <c r="I94">
        <v>49.2</v>
      </c>
      <c r="J94">
        <v>2</v>
      </c>
      <c r="K94" t="str">
        <f t="shared" si="2"/>
        <v>Technical Issue</v>
      </c>
      <c r="L94" t="str">
        <f t="shared" si="3"/>
        <v>Social Media</v>
      </c>
    </row>
    <row r="95" spans="1:12" x14ac:dyDescent="0.3">
      <c r="A95" t="s">
        <v>533</v>
      </c>
      <c r="B95" s="1">
        <v>45742.820833333331</v>
      </c>
      <c r="C95" s="1">
        <v>45744.908333333333</v>
      </c>
      <c r="D95" t="s">
        <v>47</v>
      </c>
      <c r="E95" t="s">
        <v>26</v>
      </c>
      <c r="F95" t="s">
        <v>23</v>
      </c>
      <c r="G95" t="s">
        <v>14</v>
      </c>
      <c r="H95" t="s">
        <v>15</v>
      </c>
      <c r="I95">
        <v>50.1</v>
      </c>
      <c r="J95">
        <v>2</v>
      </c>
      <c r="K95" t="str">
        <f t="shared" si="2"/>
        <v>Product Information</v>
      </c>
      <c r="L95" t="str">
        <f t="shared" si="3"/>
        <v>Phone</v>
      </c>
    </row>
    <row r="96" spans="1:12" x14ac:dyDescent="0.3">
      <c r="A96" t="s">
        <v>362</v>
      </c>
      <c r="B96" s="1">
        <v>45673.371527777781</v>
      </c>
      <c r="C96" s="1">
        <v>45675.484027777777</v>
      </c>
      <c r="D96" t="s">
        <v>36</v>
      </c>
      <c r="E96" t="s">
        <v>18</v>
      </c>
      <c r="F96" t="s">
        <v>23</v>
      </c>
      <c r="G96" t="s">
        <v>14</v>
      </c>
      <c r="H96" t="s">
        <v>20</v>
      </c>
      <c r="I96">
        <v>50.7</v>
      </c>
      <c r="J96">
        <v>2</v>
      </c>
      <c r="K96" t="str">
        <f t="shared" si="2"/>
        <v>Payment</v>
      </c>
      <c r="L96" t="str">
        <f t="shared" si="3"/>
        <v>Chat</v>
      </c>
    </row>
    <row r="97" spans="1:12" x14ac:dyDescent="0.3">
      <c r="A97" t="s">
        <v>347</v>
      </c>
      <c r="B97" s="1">
        <v>45809.558333333334</v>
      </c>
      <c r="C97" s="1">
        <v>45811.679166666669</v>
      </c>
      <c r="D97" t="s">
        <v>32</v>
      </c>
      <c r="E97" t="s">
        <v>12</v>
      </c>
      <c r="F97" t="s">
        <v>13</v>
      </c>
      <c r="G97" t="s">
        <v>14</v>
      </c>
      <c r="H97" t="s">
        <v>37</v>
      </c>
      <c r="I97">
        <v>50.9</v>
      </c>
      <c r="J97">
        <v>2</v>
      </c>
      <c r="K97" t="str">
        <f t="shared" si="2"/>
        <v>Technical Issue</v>
      </c>
      <c r="L97" t="str">
        <f t="shared" si="3"/>
        <v>Email</v>
      </c>
    </row>
    <row r="98" spans="1:12" x14ac:dyDescent="0.3">
      <c r="A98" t="s">
        <v>70</v>
      </c>
      <c r="B98" s="1">
        <v>45692.338194444441</v>
      </c>
      <c r="C98" s="1">
        <v>45694.571527777778</v>
      </c>
      <c r="D98" t="s">
        <v>32</v>
      </c>
      <c r="E98" t="s">
        <v>26</v>
      </c>
      <c r="F98" t="s">
        <v>33</v>
      </c>
      <c r="G98" t="s">
        <v>14</v>
      </c>
      <c r="H98" t="s">
        <v>30</v>
      </c>
      <c r="I98">
        <v>53.6</v>
      </c>
      <c r="J98">
        <v>2</v>
      </c>
      <c r="K98" t="str">
        <f t="shared" si="2"/>
        <v>Technical Issue</v>
      </c>
      <c r="L98" t="str">
        <f t="shared" si="3"/>
        <v>Phone</v>
      </c>
    </row>
    <row r="99" spans="1:12" x14ac:dyDescent="0.3">
      <c r="A99" t="s">
        <v>21</v>
      </c>
      <c r="B99" s="1">
        <v>45772.761805555558</v>
      </c>
      <c r="C99" s="1">
        <v>45775.045138888891</v>
      </c>
      <c r="D99" t="s">
        <v>11</v>
      </c>
      <c r="E99" t="s">
        <v>22</v>
      </c>
      <c r="F99" t="s">
        <v>23</v>
      </c>
      <c r="G99" t="s">
        <v>14</v>
      </c>
      <c r="H99" t="s">
        <v>24</v>
      </c>
      <c r="I99">
        <v>54.8</v>
      </c>
      <c r="J99">
        <v>2</v>
      </c>
      <c r="K99" t="str">
        <f t="shared" si="2"/>
        <v>Refund</v>
      </c>
      <c r="L99" t="str">
        <f t="shared" si="3"/>
        <v>Social Media</v>
      </c>
    </row>
    <row r="100" spans="1:12" x14ac:dyDescent="0.3">
      <c r="A100" t="s">
        <v>414</v>
      </c>
      <c r="B100" s="1">
        <v>45726.744444444441</v>
      </c>
      <c r="C100" s="1">
        <v>45729.040277777778</v>
      </c>
      <c r="D100" t="s">
        <v>47</v>
      </c>
      <c r="E100" t="s">
        <v>22</v>
      </c>
      <c r="F100" t="s">
        <v>23</v>
      </c>
      <c r="G100" t="s">
        <v>14</v>
      </c>
      <c r="H100" t="s">
        <v>37</v>
      </c>
      <c r="I100">
        <v>55.1</v>
      </c>
      <c r="J100">
        <v>2</v>
      </c>
      <c r="K100" t="str">
        <f t="shared" si="2"/>
        <v>Product Information</v>
      </c>
      <c r="L100" t="str">
        <f t="shared" si="3"/>
        <v>Social Media</v>
      </c>
    </row>
    <row r="101" spans="1:12" x14ac:dyDescent="0.3">
      <c r="A101" t="s">
        <v>238</v>
      </c>
      <c r="B101" s="1">
        <v>45798.720833333333</v>
      </c>
      <c r="C101" s="1">
        <v>45801.279166666667</v>
      </c>
      <c r="D101" t="s">
        <v>32</v>
      </c>
      <c r="E101" t="s">
        <v>18</v>
      </c>
      <c r="F101" t="s">
        <v>13</v>
      </c>
      <c r="G101" t="s">
        <v>14</v>
      </c>
      <c r="H101" t="s">
        <v>20</v>
      </c>
      <c r="I101">
        <v>61.4</v>
      </c>
      <c r="J101">
        <v>2</v>
      </c>
      <c r="K101" t="str">
        <f t="shared" si="2"/>
        <v>Technical Issue</v>
      </c>
      <c r="L101" t="str">
        <f t="shared" si="3"/>
        <v>Chat</v>
      </c>
    </row>
    <row r="102" spans="1:12" x14ac:dyDescent="0.3">
      <c r="A102" t="s">
        <v>77</v>
      </c>
      <c r="B102" s="1">
        <v>45837.14166666667</v>
      </c>
      <c r="C102" s="1">
        <v>45839.720833333333</v>
      </c>
      <c r="D102" t="s">
        <v>36</v>
      </c>
      <c r="E102" t="s">
        <v>22</v>
      </c>
      <c r="F102" t="s">
        <v>23</v>
      </c>
      <c r="G102" t="s">
        <v>14</v>
      </c>
      <c r="H102" t="s">
        <v>24</v>
      </c>
      <c r="I102">
        <v>61.9</v>
      </c>
      <c r="J102">
        <v>2</v>
      </c>
      <c r="K102" t="str">
        <f t="shared" si="2"/>
        <v>Payment</v>
      </c>
      <c r="L102" t="str">
        <f t="shared" si="3"/>
        <v>Social Media</v>
      </c>
    </row>
    <row r="103" spans="1:12" x14ac:dyDescent="0.3">
      <c r="A103" t="s">
        <v>169</v>
      </c>
      <c r="B103" s="1">
        <v>45695.791666666664</v>
      </c>
      <c r="C103" s="1">
        <v>45698.370833333334</v>
      </c>
      <c r="D103" t="s">
        <v>36</v>
      </c>
      <c r="E103" t="s">
        <v>26</v>
      </c>
      <c r="F103" t="s">
        <v>33</v>
      </c>
      <c r="G103" t="s">
        <v>14</v>
      </c>
      <c r="H103" t="s">
        <v>34</v>
      </c>
      <c r="I103">
        <v>61.9</v>
      </c>
      <c r="J103">
        <v>2</v>
      </c>
      <c r="K103" t="str">
        <f t="shared" si="2"/>
        <v>Payment</v>
      </c>
      <c r="L103" t="str">
        <f t="shared" si="3"/>
        <v>Phone</v>
      </c>
    </row>
    <row r="104" spans="1:12" x14ac:dyDescent="0.3">
      <c r="A104" t="s">
        <v>74</v>
      </c>
      <c r="B104" s="1">
        <v>45668.390972222223</v>
      </c>
      <c r="C104" s="1">
        <v>45671.09097222222</v>
      </c>
      <c r="D104" t="s">
        <v>11</v>
      </c>
      <c r="E104" t="s">
        <v>18</v>
      </c>
      <c r="F104" t="s">
        <v>13</v>
      </c>
      <c r="G104" t="s">
        <v>14</v>
      </c>
      <c r="H104" t="s">
        <v>30</v>
      </c>
      <c r="I104">
        <v>64.8</v>
      </c>
      <c r="J104">
        <v>2</v>
      </c>
      <c r="K104" t="str">
        <f t="shared" si="2"/>
        <v>Refund</v>
      </c>
      <c r="L104" t="str">
        <f t="shared" si="3"/>
        <v>Chat</v>
      </c>
    </row>
    <row r="105" spans="1:12" x14ac:dyDescent="0.3">
      <c r="A105" t="s">
        <v>482</v>
      </c>
      <c r="B105" s="1">
        <v>45788.115277777775</v>
      </c>
      <c r="C105" s="1">
        <v>45790.831944444442</v>
      </c>
      <c r="D105" t="s">
        <v>28</v>
      </c>
      <c r="E105" t="s">
        <v>26</v>
      </c>
      <c r="F105" t="s">
        <v>23</v>
      </c>
      <c r="G105" t="s">
        <v>14</v>
      </c>
      <c r="H105" t="s">
        <v>41</v>
      </c>
      <c r="I105">
        <v>65.2</v>
      </c>
      <c r="J105">
        <v>2</v>
      </c>
      <c r="K105" t="str">
        <f t="shared" si="2"/>
        <v>Account</v>
      </c>
      <c r="L105" t="str">
        <f t="shared" si="3"/>
        <v>Phone</v>
      </c>
    </row>
    <row r="106" spans="1:12" x14ac:dyDescent="0.3">
      <c r="A106" t="s">
        <v>75</v>
      </c>
      <c r="B106" s="1">
        <v>45801.568749999999</v>
      </c>
      <c r="C106" s="1">
        <v>45804.347916666666</v>
      </c>
      <c r="D106" t="s">
        <v>36</v>
      </c>
      <c r="E106" t="s">
        <v>18</v>
      </c>
      <c r="F106" t="s">
        <v>19</v>
      </c>
      <c r="G106" t="s">
        <v>14</v>
      </c>
      <c r="H106" t="s">
        <v>39</v>
      </c>
      <c r="I106">
        <v>66.7</v>
      </c>
      <c r="J106">
        <v>2</v>
      </c>
      <c r="K106" t="str">
        <f t="shared" si="2"/>
        <v>Payment</v>
      </c>
      <c r="L106" t="str">
        <f t="shared" si="3"/>
        <v>Chat</v>
      </c>
    </row>
    <row r="107" spans="1:12" x14ac:dyDescent="0.3">
      <c r="A107" t="s">
        <v>335</v>
      </c>
      <c r="B107" s="1">
        <v>45729.515972222223</v>
      </c>
      <c r="C107" s="1">
        <v>45732.311805555553</v>
      </c>
      <c r="D107" t="s">
        <v>47</v>
      </c>
      <c r="E107" t="s">
        <v>18</v>
      </c>
      <c r="F107" t="s">
        <v>13</v>
      </c>
      <c r="G107" t="s">
        <v>14</v>
      </c>
      <c r="H107" t="s">
        <v>41</v>
      </c>
      <c r="I107">
        <v>67.099999999999994</v>
      </c>
      <c r="J107">
        <v>2</v>
      </c>
      <c r="K107" t="str">
        <f t="shared" si="2"/>
        <v>Product Information</v>
      </c>
      <c r="L107" t="str">
        <f t="shared" si="3"/>
        <v>Chat</v>
      </c>
    </row>
    <row r="108" spans="1:12" x14ac:dyDescent="0.3">
      <c r="A108" t="s">
        <v>232</v>
      </c>
      <c r="B108" s="1">
        <v>45751.70208333333</v>
      </c>
      <c r="C108" s="1">
        <v>45754.560416666667</v>
      </c>
      <c r="D108" t="s">
        <v>47</v>
      </c>
      <c r="E108" t="s">
        <v>22</v>
      </c>
      <c r="F108" t="s">
        <v>13</v>
      </c>
      <c r="G108" t="s">
        <v>14</v>
      </c>
      <c r="H108" t="s">
        <v>37</v>
      </c>
      <c r="I108">
        <v>68.599999999999994</v>
      </c>
      <c r="J108">
        <v>2</v>
      </c>
      <c r="K108" t="str">
        <f t="shared" si="2"/>
        <v>Product Information</v>
      </c>
      <c r="L108" t="str">
        <f t="shared" si="3"/>
        <v>Social Media</v>
      </c>
    </row>
    <row r="109" spans="1:12" x14ac:dyDescent="0.3">
      <c r="A109" t="s">
        <v>46</v>
      </c>
      <c r="B109" s="1">
        <v>45774.031944444447</v>
      </c>
      <c r="C109" s="1">
        <v>45776.948611111111</v>
      </c>
      <c r="D109" t="s">
        <v>47</v>
      </c>
      <c r="E109" t="s">
        <v>12</v>
      </c>
      <c r="F109" t="s">
        <v>23</v>
      </c>
      <c r="G109" t="s">
        <v>14</v>
      </c>
      <c r="H109" t="s">
        <v>20</v>
      </c>
      <c r="I109">
        <v>70</v>
      </c>
      <c r="J109">
        <v>2</v>
      </c>
      <c r="K109" t="str">
        <f t="shared" si="2"/>
        <v>Product Information</v>
      </c>
      <c r="L109" t="str">
        <f t="shared" si="3"/>
        <v>Email</v>
      </c>
    </row>
    <row r="110" spans="1:12" x14ac:dyDescent="0.3">
      <c r="A110" t="s">
        <v>249</v>
      </c>
      <c r="B110" s="1">
        <v>45738.930555555555</v>
      </c>
      <c r="C110" s="1">
        <v>45741.855555555558</v>
      </c>
      <c r="D110" t="s">
        <v>32</v>
      </c>
      <c r="E110" t="s">
        <v>12</v>
      </c>
      <c r="F110" t="s">
        <v>23</v>
      </c>
      <c r="G110" t="s">
        <v>14</v>
      </c>
      <c r="H110" t="s">
        <v>20</v>
      </c>
      <c r="I110">
        <v>70.2</v>
      </c>
      <c r="J110">
        <v>2</v>
      </c>
      <c r="K110" t="str">
        <f t="shared" si="2"/>
        <v>Technical Issue</v>
      </c>
      <c r="L110" t="str">
        <f t="shared" si="3"/>
        <v>Email</v>
      </c>
    </row>
    <row r="111" spans="1:12" x14ac:dyDescent="0.3">
      <c r="A111" t="s">
        <v>382</v>
      </c>
      <c r="B111" s="1">
        <v>45737.105555555558</v>
      </c>
      <c r="C111" s="1">
        <v>45740.030555555553</v>
      </c>
      <c r="D111" t="s">
        <v>47</v>
      </c>
      <c r="E111" t="s">
        <v>26</v>
      </c>
      <c r="F111" t="s">
        <v>19</v>
      </c>
      <c r="G111" t="s">
        <v>14</v>
      </c>
      <c r="H111" t="s">
        <v>34</v>
      </c>
      <c r="I111">
        <v>70.2</v>
      </c>
      <c r="J111">
        <v>2</v>
      </c>
      <c r="K111" t="str">
        <f t="shared" si="2"/>
        <v>Product Information</v>
      </c>
      <c r="L111" t="str">
        <f t="shared" si="3"/>
        <v>Phone</v>
      </c>
    </row>
    <row r="112" spans="1:12" x14ac:dyDescent="0.3">
      <c r="A112" t="s">
        <v>368</v>
      </c>
      <c r="B112" s="1">
        <v>45774.018750000003</v>
      </c>
      <c r="C112" s="1">
        <v>45777.006249999999</v>
      </c>
      <c r="D112" t="s">
        <v>11</v>
      </c>
      <c r="E112" t="s">
        <v>26</v>
      </c>
      <c r="F112" t="s">
        <v>33</v>
      </c>
      <c r="G112" t="s">
        <v>14</v>
      </c>
      <c r="H112" t="s">
        <v>24</v>
      </c>
      <c r="I112">
        <v>71.7</v>
      </c>
      <c r="J112">
        <v>2</v>
      </c>
      <c r="K112" t="str">
        <f t="shared" si="2"/>
        <v>Refund</v>
      </c>
      <c r="L112" t="str">
        <f t="shared" si="3"/>
        <v>Phone</v>
      </c>
    </row>
    <row r="113" spans="1:12" x14ac:dyDescent="0.3">
      <c r="A113" t="s">
        <v>189</v>
      </c>
      <c r="B113" s="1">
        <v>45714.526388888888</v>
      </c>
      <c r="C113" s="1">
        <v>45714.568055555559</v>
      </c>
      <c r="D113" t="s">
        <v>36</v>
      </c>
      <c r="E113" t="s">
        <v>18</v>
      </c>
      <c r="F113" t="s">
        <v>23</v>
      </c>
      <c r="G113" t="s">
        <v>14</v>
      </c>
      <c r="H113" t="s">
        <v>24</v>
      </c>
      <c r="I113">
        <v>1</v>
      </c>
      <c r="J113">
        <v>3</v>
      </c>
      <c r="K113" t="str">
        <f t="shared" si="2"/>
        <v>Payment</v>
      </c>
      <c r="L113" t="str">
        <f t="shared" si="3"/>
        <v>Chat</v>
      </c>
    </row>
    <row r="114" spans="1:12" x14ac:dyDescent="0.3">
      <c r="A114" t="s">
        <v>314</v>
      </c>
      <c r="B114" s="1">
        <v>45794.726388888892</v>
      </c>
      <c r="C114" s="1">
        <v>45794.797222222223</v>
      </c>
      <c r="D114" t="s">
        <v>47</v>
      </c>
      <c r="E114" t="s">
        <v>26</v>
      </c>
      <c r="F114" t="s">
        <v>13</v>
      </c>
      <c r="G114" t="s">
        <v>14</v>
      </c>
      <c r="H114" t="s">
        <v>15</v>
      </c>
      <c r="I114">
        <v>1.7</v>
      </c>
      <c r="J114">
        <v>3</v>
      </c>
      <c r="K114" t="str">
        <f t="shared" si="2"/>
        <v>Product Information</v>
      </c>
      <c r="L114" t="str">
        <f t="shared" si="3"/>
        <v>Phone</v>
      </c>
    </row>
    <row r="115" spans="1:12" x14ac:dyDescent="0.3">
      <c r="A115" t="s">
        <v>344</v>
      </c>
      <c r="B115" s="1">
        <v>45734.07708333333</v>
      </c>
      <c r="C115" s="1">
        <v>45734.164583333331</v>
      </c>
      <c r="D115" t="s">
        <v>11</v>
      </c>
      <c r="E115" t="s">
        <v>12</v>
      </c>
      <c r="F115" t="s">
        <v>33</v>
      </c>
      <c r="G115" t="s">
        <v>14</v>
      </c>
      <c r="H115" t="s">
        <v>20</v>
      </c>
      <c r="I115">
        <v>2.1</v>
      </c>
      <c r="J115">
        <v>3</v>
      </c>
      <c r="K115" t="str">
        <f t="shared" si="2"/>
        <v>Refund</v>
      </c>
      <c r="L115" t="str">
        <f t="shared" si="3"/>
        <v>Email</v>
      </c>
    </row>
    <row r="116" spans="1:12" x14ac:dyDescent="0.3">
      <c r="A116" t="s">
        <v>165</v>
      </c>
      <c r="B116" s="1">
        <v>45783.80972222222</v>
      </c>
      <c r="C116" s="1">
        <v>45783.926388888889</v>
      </c>
      <c r="D116" t="s">
        <v>36</v>
      </c>
      <c r="E116" t="s">
        <v>22</v>
      </c>
      <c r="F116" t="s">
        <v>19</v>
      </c>
      <c r="G116" t="s">
        <v>14</v>
      </c>
      <c r="H116" t="s">
        <v>20</v>
      </c>
      <c r="I116">
        <v>2.8</v>
      </c>
      <c r="J116">
        <v>3</v>
      </c>
      <c r="K116" t="str">
        <f t="shared" si="2"/>
        <v>Payment</v>
      </c>
      <c r="L116" t="str">
        <f t="shared" si="3"/>
        <v>Social Media</v>
      </c>
    </row>
    <row r="117" spans="1:12" x14ac:dyDescent="0.3">
      <c r="A117" t="s">
        <v>57</v>
      </c>
      <c r="B117" s="1">
        <v>45830.861805555556</v>
      </c>
      <c r="C117" s="1">
        <v>45831.061805555553</v>
      </c>
      <c r="D117" t="s">
        <v>17</v>
      </c>
      <c r="E117" t="s">
        <v>18</v>
      </c>
      <c r="F117" t="s">
        <v>33</v>
      </c>
      <c r="G117" t="s">
        <v>14</v>
      </c>
      <c r="H117" t="s">
        <v>20</v>
      </c>
      <c r="I117">
        <v>4.8</v>
      </c>
      <c r="J117">
        <v>3</v>
      </c>
      <c r="K117" t="str">
        <f t="shared" si="2"/>
        <v>Delivery</v>
      </c>
      <c r="L117" t="str">
        <f t="shared" si="3"/>
        <v>Chat</v>
      </c>
    </row>
    <row r="118" spans="1:12" x14ac:dyDescent="0.3">
      <c r="A118" t="s">
        <v>372</v>
      </c>
      <c r="B118" s="1">
        <v>45716.503472222219</v>
      </c>
      <c r="C118" s="1">
        <v>45716.832638888889</v>
      </c>
      <c r="D118" t="s">
        <v>32</v>
      </c>
      <c r="E118" t="s">
        <v>18</v>
      </c>
      <c r="F118" t="s">
        <v>19</v>
      </c>
      <c r="G118" t="s">
        <v>14</v>
      </c>
      <c r="H118" t="s">
        <v>37</v>
      </c>
      <c r="I118">
        <v>7.9</v>
      </c>
      <c r="J118">
        <v>3</v>
      </c>
      <c r="K118" t="str">
        <f t="shared" si="2"/>
        <v>Technical Issue</v>
      </c>
      <c r="L118" t="str">
        <f t="shared" si="3"/>
        <v>Chat</v>
      </c>
    </row>
    <row r="119" spans="1:12" x14ac:dyDescent="0.3">
      <c r="A119" t="s">
        <v>79</v>
      </c>
      <c r="B119" s="1">
        <v>45831.722916666666</v>
      </c>
      <c r="C119" s="1">
        <v>45832.085416666669</v>
      </c>
      <c r="D119" t="s">
        <v>36</v>
      </c>
      <c r="E119" t="s">
        <v>26</v>
      </c>
      <c r="F119" t="s">
        <v>13</v>
      </c>
      <c r="G119" t="s">
        <v>14</v>
      </c>
      <c r="H119" t="s">
        <v>34</v>
      </c>
      <c r="I119">
        <v>8.6999999999999993</v>
      </c>
      <c r="J119">
        <v>3</v>
      </c>
      <c r="K119" t="str">
        <f t="shared" si="2"/>
        <v>Payment</v>
      </c>
      <c r="L119" t="str">
        <f t="shared" si="3"/>
        <v>Phone</v>
      </c>
    </row>
    <row r="120" spans="1:12" x14ac:dyDescent="0.3">
      <c r="A120" t="s">
        <v>68</v>
      </c>
      <c r="B120" s="1">
        <v>45795.272222222222</v>
      </c>
      <c r="C120" s="1">
        <v>45795.688888888886</v>
      </c>
      <c r="D120" t="s">
        <v>17</v>
      </c>
      <c r="E120" t="s">
        <v>18</v>
      </c>
      <c r="F120" t="s">
        <v>23</v>
      </c>
      <c r="G120" t="s">
        <v>14</v>
      </c>
      <c r="H120" t="s">
        <v>24</v>
      </c>
      <c r="I120">
        <v>10</v>
      </c>
      <c r="J120">
        <v>3</v>
      </c>
      <c r="K120" t="str">
        <f t="shared" si="2"/>
        <v>Delivery</v>
      </c>
      <c r="L120" t="str">
        <f t="shared" si="3"/>
        <v>Chat</v>
      </c>
    </row>
    <row r="121" spans="1:12" x14ac:dyDescent="0.3">
      <c r="A121" t="s">
        <v>35</v>
      </c>
      <c r="B121" s="1">
        <v>45755.353472222225</v>
      </c>
      <c r="C121" s="1">
        <v>45755.857638888891</v>
      </c>
      <c r="D121" t="s">
        <v>36</v>
      </c>
      <c r="E121" t="s">
        <v>26</v>
      </c>
      <c r="F121" t="s">
        <v>13</v>
      </c>
      <c r="G121" t="s">
        <v>14</v>
      </c>
      <c r="H121" t="s">
        <v>37</v>
      </c>
      <c r="I121">
        <v>12.1</v>
      </c>
      <c r="J121">
        <v>3</v>
      </c>
      <c r="K121" t="str">
        <f t="shared" si="2"/>
        <v>Payment</v>
      </c>
      <c r="L121" t="str">
        <f t="shared" si="3"/>
        <v>Phone</v>
      </c>
    </row>
    <row r="122" spans="1:12" x14ac:dyDescent="0.3">
      <c r="A122" t="s">
        <v>504</v>
      </c>
      <c r="B122" s="1">
        <v>45799.842361111114</v>
      </c>
      <c r="C122" s="1">
        <v>45800.488194444442</v>
      </c>
      <c r="D122" t="s">
        <v>11</v>
      </c>
      <c r="E122" t="s">
        <v>26</v>
      </c>
      <c r="F122" t="s">
        <v>33</v>
      </c>
      <c r="G122" t="s">
        <v>14</v>
      </c>
      <c r="H122" t="s">
        <v>37</v>
      </c>
      <c r="I122">
        <v>15.5</v>
      </c>
      <c r="J122">
        <v>3</v>
      </c>
      <c r="K122" t="str">
        <f t="shared" si="2"/>
        <v>Refund</v>
      </c>
      <c r="L122" t="str">
        <f t="shared" si="3"/>
        <v>Phone</v>
      </c>
    </row>
    <row r="123" spans="1:12" x14ac:dyDescent="0.3">
      <c r="A123" t="s">
        <v>463</v>
      </c>
      <c r="B123" s="1">
        <v>45825.093055555553</v>
      </c>
      <c r="C123" s="1">
        <v>45825.780555555553</v>
      </c>
      <c r="D123" t="s">
        <v>28</v>
      </c>
      <c r="E123" t="s">
        <v>26</v>
      </c>
      <c r="F123" t="s">
        <v>23</v>
      </c>
      <c r="G123" t="s">
        <v>14</v>
      </c>
      <c r="H123" t="s">
        <v>24</v>
      </c>
      <c r="I123">
        <v>16.5</v>
      </c>
      <c r="J123">
        <v>3</v>
      </c>
      <c r="K123" t="str">
        <f t="shared" si="2"/>
        <v>Account</v>
      </c>
      <c r="L123" t="str">
        <f t="shared" si="3"/>
        <v>Phone</v>
      </c>
    </row>
    <row r="124" spans="1:12" x14ac:dyDescent="0.3">
      <c r="A124" t="s">
        <v>267</v>
      </c>
      <c r="B124" s="1">
        <v>45721.357638888891</v>
      </c>
      <c r="C124" s="1">
        <v>45722.049305555556</v>
      </c>
      <c r="D124" t="s">
        <v>32</v>
      </c>
      <c r="E124" t="s">
        <v>18</v>
      </c>
      <c r="F124" t="s">
        <v>19</v>
      </c>
      <c r="G124" t="s">
        <v>14</v>
      </c>
      <c r="H124" t="s">
        <v>30</v>
      </c>
      <c r="I124">
        <v>16.600000000000001</v>
      </c>
      <c r="J124">
        <v>3</v>
      </c>
      <c r="K124" t="str">
        <f t="shared" si="2"/>
        <v>Technical Issue</v>
      </c>
      <c r="L124" t="str">
        <f t="shared" si="3"/>
        <v>Chat</v>
      </c>
    </row>
    <row r="125" spans="1:12" x14ac:dyDescent="0.3">
      <c r="A125" t="s">
        <v>356</v>
      </c>
      <c r="B125" s="1">
        <v>45714.376388888886</v>
      </c>
      <c r="C125" s="1">
        <v>45715.068055555559</v>
      </c>
      <c r="D125" t="s">
        <v>36</v>
      </c>
      <c r="E125" t="s">
        <v>22</v>
      </c>
      <c r="F125" t="s">
        <v>19</v>
      </c>
      <c r="G125" t="s">
        <v>14</v>
      </c>
      <c r="H125" t="s">
        <v>34</v>
      </c>
      <c r="I125">
        <v>16.600000000000001</v>
      </c>
      <c r="J125">
        <v>3</v>
      </c>
      <c r="K125" t="str">
        <f t="shared" si="2"/>
        <v>Payment</v>
      </c>
      <c r="L125" t="str">
        <f t="shared" si="3"/>
        <v>Social Media</v>
      </c>
    </row>
    <row r="126" spans="1:12" x14ac:dyDescent="0.3">
      <c r="A126" t="s">
        <v>99</v>
      </c>
      <c r="B126" s="1">
        <v>45692.59097222222</v>
      </c>
      <c r="C126" s="1">
        <v>45693.386805555558</v>
      </c>
      <c r="D126" t="s">
        <v>36</v>
      </c>
      <c r="E126" t="s">
        <v>22</v>
      </c>
      <c r="F126" t="s">
        <v>23</v>
      </c>
      <c r="G126" t="s">
        <v>14</v>
      </c>
      <c r="H126" t="s">
        <v>30</v>
      </c>
      <c r="I126">
        <v>19.100000000000001</v>
      </c>
      <c r="J126">
        <v>3</v>
      </c>
      <c r="K126" t="str">
        <f t="shared" si="2"/>
        <v>Payment</v>
      </c>
      <c r="L126" t="str">
        <f t="shared" si="3"/>
        <v>Social Media</v>
      </c>
    </row>
    <row r="127" spans="1:12" x14ac:dyDescent="0.3">
      <c r="A127" t="s">
        <v>306</v>
      </c>
      <c r="B127" s="1">
        <v>45777.736805555556</v>
      </c>
      <c r="C127" s="1">
        <v>45778.678472222222</v>
      </c>
      <c r="D127" t="s">
        <v>47</v>
      </c>
      <c r="E127" t="s">
        <v>22</v>
      </c>
      <c r="F127" t="s">
        <v>19</v>
      </c>
      <c r="G127" t="s">
        <v>14</v>
      </c>
      <c r="H127" t="s">
        <v>34</v>
      </c>
      <c r="I127">
        <v>22.6</v>
      </c>
      <c r="J127">
        <v>3</v>
      </c>
      <c r="K127" t="str">
        <f t="shared" si="2"/>
        <v>Product Information</v>
      </c>
      <c r="L127" t="str">
        <f t="shared" si="3"/>
        <v>Social Media</v>
      </c>
    </row>
    <row r="128" spans="1:12" x14ac:dyDescent="0.3">
      <c r="A128" t="s">
        <v>399</v>
      </c>
      <c r="B128" s="1">
        <v>45758.953472222223</v>
      </c>
      <c r="C128" s="1">
        <v>45759.920138888891</v>
      </c>
      <c r="D128" t="s">
        <v>36</v>
      </c>
      <c r="E128" t="s">
        <v>12</v>
      </c>
      <c r="F128" t="s">
        <v>33</v>
      </c>
      <c r="G128" t="s">
        <v>14</v>
      </c>
      <c r="H128" t="s">
        <v>37</v>
      </c>
      <c r="I128">
        <v>23.2</v>
      </c>
      <c r="J128">
        <v>3</v>
      </c>
      <c r="K128" t="str">
        <f t="shared" si="2"/>
        <v>Payment</v>
      </c>
      <c r="L128" t="str">
        <f t="shared" si="3"/>
        <v>Email</v>
      </c>
    </row>
    <row r="129" spans="1:12" x14ac:dyDescent="0.3">
      <c r="A129" t="s">
        <v>497</v>
      </c>
      <c r="B129" s="1">
        <v>45682.884722222225</v>
      </c>
      <c r="C129" s="1">
        <v>45683.922222222223</v>
      </c>
      <c r="D129" t="s">
        <v>47</v>
      </c>
      <c r="E129" t="s">
        <v>26</v>
      </c>
      <c r="F129" t="s">
        <v>13</v>
      </c>
      <c r="G129" t="s">
        <v>14</v>
      </c>
      <c r="H129" t="s">
        <v>39</v>
      </c>
      <c r="I129">
        <v>24.9</v>
      </c>
      <c r="J129">
        <v>3</v>
      </c>
      <c r="K129" t="str">
        <f t="shared" si="2"/>
        <v>Product Information</v>
      </c>
      <c r="L129" t="str">
        <f t="shared" si="3"/>
        <v>Phone</v>
      </c>
    </row>
    <row r="130" spans="1:12" x14ac:dyDescent="0.3">
      <c r="A130" t="s">
        <v>452</v>
      </c>
      <c r="B130" s="1">
        <v>45779.774305555555</v>
      </c>
      <c r="C130" s="1">
        <v>45780.820138888892</v>
      </c>
      <c r="D130" t="s">
        <v>11</v>
      </c>
      <c r="E130" t="s">
        <v>12</v>
      </c>
      <c r="F130" t="s">
        <v>23</v>
      </c>
      <c r="G130" t="s">
        <v>14</v>
      </c>
      <c r="H130" t="s">
        <v>39</v>
      </c>
      <c r="I130">
        <v>25.1</v>
      </c>
      <c r="J130">
        <v>3</v>
      </c>
      <c r="K130" t="str">
        <f t="shared" ref="K130:K193" si="4">TRIM(D130)</f>
        <v>Refund</v>
      </c>
      <c r="L130" t="str">
        <f t="shared" ref="L130:L193" si="5">TRIM(E130)</f>
        <v>Email</v>
      </c>
    </row>
    <row r="131" spans="1:12" x14ac:dyDescent="0.3">
      <c r="A131" t="s">
        <v>215</v>
      </c>
      <c r="B131" s="1">
        <v>45747.018055555556</v>
      </c>
      <c r="C131" s="1">
        <v>45748.218055555553</v>
      </c>
      <c r="D131" t="s">
        <v>36</v>
      </c>
      <c r="E131" t="s">
        <v>22</v>
      </c>
      <c r="F131" t="s">
        <v>13</v>
      </c>
      <c r="G131" t="s">
        <v>14</v>
      </c>
      <c r="H131" t="s">
        <v>30</v>
      </c>
      <c r="I131">
        <v>28.8</v>
      </c>
      <c r="J131">
        <v>3</v>
      </c>
      <c r="K131" t="str">
        <f t="shared" si="4"/>
        <v>Payment</v>
      </c>
      <c r="L131" t="str">
        <f t="shared" si="5"/>
        <v>Social Media</v>
      </c>
    </row>
    <row r="132" spans="1:12" x14ac:dyDescent="0.3">
      <c r="A132" t="s">
        <v>78</v>
      </c>
      <c r="B132" s="1">
        <v>45716.292361111111</v>
      </c>
      <c r="C132" s="1">
        <v>45717.500694444447</v>
      </c>
      <c r="D132" t="s">
        <v>17</v>
      </c>
      <c r="E132" t="s">
        <v>26</v>
      </c>
      <c r="F132" t="s">
        <v>23</v>
      </c>
      <c r="G132" t="s">
        <v>14</v>
      </c>
      <c r="H132" t="s">
        <v>15</v>
      </c>
      <c r="I132">
        <v>29</v>
      </c>
      <c r="J132">
        <v>3</v>
      </c>
      <c r="K132" t="str">
        <f t="shared" si="4"/>
        <v>Delivery</v>
      </c>
      <c r="L132" t="str">
        <f t="shared" si="5"/>
        <v>Phone</v>
      </c>
    </row>
    <row r="133" spans="1:12" x14ac:dyDescent="0.3">
      <c r="A133" t="s">
        <v>364</v>
      </c>
      <c r="B133" s="1">
        <v>45677.868055555555</v>
      </c>
      <c r="C133" s="1">
        <v>45679.088888888888</v>
      </c>
      <c r="D133" t="s">
        <v>11</v>
      </c>
      <c r="E133" t="s">
        <v>26</v>
      </c>
      <c r="F133" t="s">
        <v>19</v>
      </c>
      <c r="G133" t="s">
        <v>14</v>
      </c>
      <c r="H133" t="s">
        <v>41</v>
      </c>
      <c r="I133">
        <v>29.3</v>
      </c>
      <c r="J133">
        <v>3</v>
      </c>
      <c r="K133" t="str">
        <f t="shared" si="4"/>
        <v>Refund</v>
      </c>
      <c r="L133" t="str">
        <f t="shared" si="5"/>
        <v>Phone</v>
      </c>
    </row>
    <row r="134" spans="1:12" x14ac:dyDescent="0.3">
      <c r="A134" t="s">
        <v>188</v>
      </c>
      <c r="B134" s="1">
        <v>45713.671527777777</v>
      </c>
      <c r="C134" s="1">
        <v>45714.97152777778</v>
      </c>
      <c r="D134" t="s">
        <v>11</v>
      </c>
      <c r="E134" t="s">
        <v>22</v>
      </c>
      <c r="F134" t="s">
        <v>23</v>
      </c>
      <c r="G134" t="s">
        <v>14</v>
      </c>
      <c r="H134" t="s">
        <v>39</v>
      </c>
      <c r="I134">
        <v>31.2</v>
      </c>
      <c r="J134">
        <v>3</v>
      </c>
      <c r="K134" t="str">
        <f t="shared" si="4"/>
        <v>Refund</v>
      </c>
      <c r="L134" t="str">
        <f t="shared" si="5"/>
        <v>Social Media</v>
      </c>
    </row>
    <row r="135" spans="1:12" x14ac:dyDescent="0.3">
      <c r="A135" t="s">
        <v>435</v>
      </c>
      <c r="B135" s="1">
        <v>45705.584722222222</v>
      </c>
      <c r="C135" s="1">
        <v>45706.913888888892</v>
      </c>
      <c r="D135" t="s">
        <v>36</v>
      </c>
      <c r="E135" t="s">
        <v>26</v>
      </c>
      <c r="F135" t="s">
        <v>13</v>
      </c>
      <c r="G135" t="s">
        <v>14</v>
      </c>
      <c r="H135" t="s">
        <v>37</v>
      </c>
      <c r="I135">
        <v>31.9</v>
      </c>
      <c r="J135">
        <v>3</v>
      </c>
      <c r="K135" t="str">
        <f t="shared" si="4"/>
        <v>Payment</v>
      </c>
      <c r="L135" t="str">
        <f t="shared" si="5"/>
        <v>Phone</v>
      </c>
    </row>
    <row r="136" spans="1:12" x14ac:dyDescent="0.3">
      <c r="A136" t="s">
        <v>160</v>
      </c>
      <c r="B136" s="1">
        <v>45661.356944444444</v>
      </c>
      <c r="C136" s="1">
        <v>45662.731944444444</v>
      </c>
      <c r="D136" t="s">
        <v>47</v>
      </c>
      <c r="E136" t="s">
        <v>22</v>
      </c>
      <c r="F136" t="s">
        <v>23</v>
      </c>
      <c r="G136" t="s">
        <v>14</v>
      </c>
      <c r="H136" t="s">
        <v>34</v>
      </c>
      <c r="I136">
        <v>33</v>
      </c>
      <c r="J136">
        <v>3</v>
      </c>
      <c r="K136" t="str">
        <f t="shared" si="4"/>
        <v>Product Information</v>
      </c>
      <c r="L136" t="str">
        <f t="shared" si="5"/>
        <v>Social Media</v>
      </c>
    </row>
    <row r="137" spans="1:12" x14ac:dyDescent="0.3">
      <c r="A137" t="s">
        <v>450</v>
      </c>
      <c r="B137" s="1">
        <v>45709.052083333336</v>
      </c>
      <c r="C137" s="1">
        <v>45710.431250000001</v>
      </c>
      <c r="D137" t="s">
        <v>11</v>
      </c>
      <c r="E137" t="s">
        <v>18</v>
      </c>
      <c r="F137" t="s">
        <v>23</v>
      </c>
      <c r="G137" t="s">
        <v>14</v>
      </c>
      <c r="H137" t="s">
        <v>30</v>
      </c>
      <c r="I137">
        <v>33.1</v>
      </c>
      <c r="J137">
        <v>3</v>
      </c>
      <c r="K137" t="str">
        <f t="shared" si="4"/>
        <v>Refund</v>
      </c>
      <c r="L137" t="str">
        <f t="shared" si="5"/>
        <v>Chat</v>
      </c>
    </row>
    <row r="138" spans="1:12" x14ac:dyDescent="0.3">
      <c r="A138" t="s">
        <v>38</v>
      </c>
      <c r="B138" s="1">
        <v>45794.96875</v>
      </c>
      <c r="C138" s="1">
        <v>45796.368750000001</v>
      </c>
      <c r="D138" t="s">
        <v>11</v>
      </c>
      <c r="E138" t="s">
        <v>18</v>
      </c>
      <c r="F138" t="s">
        <v>23</v>
      </c>
      <c r="G138" t="s">
        <v>14</v>
      </c>
      <c r="H138" t="s">
        <v>39</v>
      </c>
      <c r="I138">
        <v>33.6</v>
      </c>
      <c r="J138">
        <v>3</v>
      </c>
      <c r="K138" t="str">
        <f t="shared" si="4"/>
        <v>Refund</v>
      </c>
      <c r="L138" t="str">
        <f t="shared" si="5"/>
        <v>Chat</v>
      </c>
    </row>
    <row r="139" spans="1:12" x14ac:dyDescent="0.3">
      <c r="A139" t="s">
        <v>366</v>
      </c>
      <c r="B139" s="1">
        <v>45713.577777777777</v>
      </c>
      <c r="C139" s="1">
        <v>45715.073611111111</v>
      </c>
      <c r="D139" t="s">
        <v>32</v>
      </c>
      <c r="E139" t="s">
        <v>26</v>
      </c>
      <c r="F139" t="s">
        <v>33</v>
      </c>
      <c r="G139" t="s">
        <v>14</v>
      </c>
      <c r="H139" t="s">
        <v>41</v>
      </c>
      <c r="I139">
        <v>35.9</v>
      </c>
      <c r="J139">
        <v>3</v>
      </c>
      <c r="K139" t="str">
        <f t="shared" si="4"/>
        <v>Technical Issue</v>
      </c>
      <c r="L139" t="str">
        <f t="shared" si="5"/>
        <v>Phone</v>
      </c>
    </row>
    <row r="140" spans="1:12" x14ac:dyDescent="0.3">
      <c r="A140" t="s">
        <v>191</v>
      </c>
      <c r="B140" s="1">
        <v>45755.739583333336</v>
      </c>
      <c r="C140" s="1">
        <v>45757.252083333333</v>
      </c>
      <c r="D140" t="s">
        <v>17</v>
      </c>
      <c r="E140" t="s">
        <v>22</v>
      </c>
      <c r="F140" t="s">
        <v>13</v>
      </c>
      <c r="G140" t="s">
        <v>14</v>
      </c>
      <c r="H140" t="s">
        <v>15</v>
      </c>
      <c r="I140">
        <v>36.299999999999997</v>
      </c>
      <c r="J140">
        <v>3</v>
      </c>
      <c r="K140" t="str">
        <f t="shared" si="4"/>
        <v>Delivery</v>
      </c>
      <c r="L140" t="str">
        <f t="shared" si="5"/>
        <v>Social Media</v>
      </c>
    </row>
    <row r="141" spans="1:12" x14ac:dyDescent="0.3">
      <c r="A141" t="s">
        <v>71</v>
      </c>
      <c r="B141" s="1">
        <v>45710.902777777781</v>
      </c>
      <c r="C141" s="1">
        <v>45712.427777777775</v>
      </c>
      <c r="D141" t="s">
        <v>17</v>
      </c>
      <c r="E141" t="s">
        <v>12</v>
      </c>
      <c r="F141" t="s">
        <v>19</v>
      </c>
      <c r="G141" t="s">
        <v>14</v>
      </c>
      <c r="H141" t="s">
        <v>24</v>
      </c>
      <c r="I141">
        <v>36.6</v>
      </c>
      <c r="J141">
        <v>3</v>
      </c>
      <c r="K141" t="str">
        <f t="shared" si="4"/>
        <v>Delivery</v>
      </c>
      <c r="L141" t="str">
        <f t="shared" si="5"/>
        <v>Email</v>
      </c>
    </row>
    <row r="142" spans="1:12" x14ac:dyDescent="0.3">
      <c r="A142" t="s">
        <v>138</v>
      </c>
      <c r="B142" s="1">
        <v>45823.188194444447</v>
      </c>
      <c r="C142" s="1">
        <v>45824.725694444445</v>
      </c>
      <c r="D142" t="s">
        <v>28</v>
      </c>
      <c r="E142" t="s">
        <v>22</v>
      </c>
      <c r="F142" t="s">
        <v>19</v>
      </c>
      <c r="G142" t="s">
        <v>14</v>
      </c>
      <c r="H142" t="s">
        <v>20</v>
      </c>
      <c r="I142">
        <v>36.9</v>
      </c>
      <c r="J142">
        <v>3</v>
      </c>
      <c r="K142" t="str">
        <f t="shared" si="4"/>
        <v>Account</v>
      </c>
      <c r="L142" t="str">
        <f t="shared" si="5"/>
        <v>Social Media</v>
      </c>
    </row>
    <row r="143" spans="1:12" x14ac:dyDescent="0.3">
      <c r="A143" t="s">
        <v>166</v>
      </c>
      <c r="B143" s="1">
        <v>45750.154861111114</v>
      </c>
      <c r="C143" s="1">
        <v>45751.796527777777</v>
      </c>
      <c r="D143" t="s">
        <v>17</v>
      </c>
      <c r="E143" t="s">
        <v>22</v>
      </c>
      <c r="F143" t="s">
        <v>23</v>
      </c>
      <c r="G143" t="s">
        <v>14</v>
      </c>
      <c r="H143" t="s">
        <v>20</v>
      </c>
      <c r="I143">
        <v>39.4</v>
      </c>
      <c r="J143">
        <v>3</v>
      </c>
      <c r="K143" t="str">
        <f t="shared" si="4"/>
        <v>Delivery</v>
      </c>
      <c r="L143" t="str">
        <f t="shared" si="5"/>
        <v>Social Media</v>
      </c>
    </row>
    <row r="144" spans="1:12" x14ac:dyDescent="0.3">
      <c r="A144" t="s">
        <v>73</v>
      </c>
      <c r="B144" s="1">
        <v>45686.12222222222</v>
      </c>
      <c r="C144" s="1">
        <v>45687.768055555556</v>
      </c>
      <c r="D144" t="s">
        <v>47</v>
      </c>
      <c r="E144" t="s">
        <v>18</v>
      </c>
      <c r="F144" t="s">
        <v>19</v>
      </c>
      <c r="G144" t="s">
        <v>14</v>
      </c>
      <c r="H144" t="s">
        <v>37</v>
      </c>
      <c r="I144">
        <v>39.5</v>
      </c>
      <c r="J144">
        <v>3</v>
      </c>
      <c r="K144" t="str">
        <f t="shared" si="4"/>
        <v>Product Information</v>
      </c>
      <c r="L144" t="str">
        <f t="shared" si="5"/>
        <v>Chat</v>
      </c>
    </row>
    <row r="145" spans="1:12" x14ac:dyDescent="0.3">
      <c r="A145" t="s">
        <v>393</v>
      </c>
      <c r="B145" s="1">
        <v>45660.466666666667</v>
      </c>
      <c r="C145" s="1">
        <v>45662.166666666664</v>
      </c>
      <c r="D145" t="s">
        <v>11</v>
      </c>
      <c r="E145" t="s">
        <v>18</v>
      </c>
      <c r="F145" t="s">
        <v>19</v>
      </c>
      <c r="G145" t="s">
        <v>14</v>
      </c>
      <c r="H145" t="s">
        <v>30</v>
      </c>
      <c r="I145">
        <v>40.799999999999997</v>
      </c>
      <c r="J145">
        <v>3</v>
      </c>
      <c r="K145" t="str">
        <f t="shared" si="4"/>
        <v>Refund</v>
      </c>
      <c r="L145" t="str">
        <f t="shared" si="5"/>
        <v>Chat</v>
      </c>
    </row>
    <row r="146" spans="1:12" x14ac:dyDescent="0.3">
      <c r="A146" t="s">
        <v>363</v>
      </c>
      <c r="B146" s="1">
        <v>45831.521527777775</v>
      </c>
      <c r="C146" s="1">
        <v>45833.263194444444</v>
      </c>
      <c r="D146" t="s">
        <v>11</v>
      </c>
      <c r="E146" t="s">
        <v>22</v>
      </c>
      <c r="F146" t="s">
        <v>19</v>
      </c>
      <c r="G146" t="s">
        <v>14</v>
      </c>
      <c r="H146" t="s">
        <v>41</v>
      </c>
      <c r="I146">
        <v>41.8</v>
      </c>
      <c r="J146">
        <v>3</v>
      </c>
      <c r="K146" t="str">
        <f t="shared" si="4"/>
        <v>Refund</v>
      </c>
      <c r="L146" t="str">
        <f t="shared" si="5"/>
        <v>Social Media</v>
      </c>
    </row>
    <row r="147" spans="1:12" x14ac:dyDescent="0.3">
      <c r="A147" t="s">
        <v>328</v>
      </c>
      <c r="B147" s="1">
        <v>45680.482638888891</v>
      </c>
      <c r="C147" s="1">
        <v>45682.282638888886</v>
      </c>
      <c r="D147" t="s">
        <v>28</v>
      </c>
      <c r="E147" t="s">
        <v>12</v>
      </c>
      <c r="F147" t="s">
        <v>23</v>
      </c>
      <c r="G147" t="s">
        <v>14</v>
      </c>
      <c r="H147" t="s">
        <v>15</v>
      </c>
      <c r="I147">
        <v>43.2</v>
      </c>
      <c r="J147">
        <v>3</v>
      </c>
      <c r="K147" t="str">
        <f t="shared" si="4"/>
        <v>Account</v>
      </c>
      <c r="L147" t="str">
        <f t="shared" si="5"/>
        <v>Email</v>
      </c>
    </row>
    <row r="148" spans="1:12" x14ac:dyDescent="0.3">
      <c r="A148" t="s">
        <v>525</v>
      </c>
      <c r="B148" s="1">
        <v>45786.137499999997</v>
      </c>
      <c r="C148" s="1">
        <v>45787.966666666667</v>
      </c>
      <c r="D148" t="s">
        <v>28</v>
      </c>
      <c r="E148" t="s">
        <v>22</v>
      </c>
      <c r="F148" t="s">
        <v>19</v>
      </c>
      <c r="G148" t="s">
        <v>14</v>
      </c>
      <c r="H148" t="s">
        <v>39</v>
      </c>
      <c r="I148">
        <v>43.9</v>
      </c>
      <c r="J148">
        <v>3</v>
      </c>
      <c r="K148" t="str">
        <f t="shared" si="4"/>
        <v>Account</v>
      </c>
      <c r="L148" t="str">
        <f t="shared" si="5"/>
        <v>Social Media</v>
      </c>
    </row>
    <row r="149" spans="1:12" x14ac:dyDescent="0.3">
      <c r="A149" t="s">
        <v>72</v>
      </c>
      <c r="B149" s="1">
        <v>45669.01458333333</v>
      </c>
      <c r="C149" s="1">
        <v>45670.935416666667</v>
      </c>
      <c r="D149" t="s">
        <v>36</v>
      </c>
      <c r="E149" t="s">
        <v>22</v>
      </c>
      <c r="F149" t="s">
        <v>19</v>
      </c>
      <c r="G149" t="s">
        <v>14</v>
      </c>
      <c r="H149" t="s">
        <v>39</v>
      </c>
      <c r="I149">
        <v>46.1</v>
      </c>
      <c r="J149">
        <v>3</v>
      </c>
      <c r="K149" t="str">
        <f t="shared" si="4"/>
        <v>Payment</v>
      </c>
      <c r="L149" t="str">
        <f t="shared" si="5"/>
        <v>Social Media</v>
      </c>
    </row>
    <row r="150" spans="1:12" x14ac:dyDescent="0.3">
      <c r="A150" t="s">
        <v>458</v>
      </c>
      <c r="B150" s="1">
        <v>45781.097916666666</v>
      </c>
      <c r="C150" s="1">
        <v>45783.027083333334</v>
      </c>
      <c r="D150" t="s">
        <v>32</v>
      </c>
      <c r="E150" t="s">
        <v>26</v>
      </c>
      <c r="F150" t="s">
        <v>33</v>
      </c>
      <c r="G150" t="s">
        <v>14</v>
      </c>
      <c r="H150" t="s">
        <v>37</v>
      </c>
      <c r="I150">
        <v>46.3</v>
      </c>
      <c r="J150">
        <v>3</v>
      </c>
      <c r="K150" t="str">
        <f t="shared" si="4"/>
        <v>Technical Issue</v>
      </c>
      <c r="L150" t="str">
        <f t="shared" si="5"/>
        <v>Phone</v>
      </c>
    </row>
    <row r="151" spans="1:12" x14ac:dyDescent="0.3">
      <c r="A151" t="s">
        <v>127</v>
      </c>
      <c r="B151" s="1">
        <v>45766.148611111108</v>
      </c>
      <c r="C151" s="1">
        <v>45768.098611111112</v>
      </c>
      <c r="D151" t="s">
        <v>36</v>
      </c>
      <c r="E151" t="s">
        <v>12</v>
      </c>
      <c r="F151" t="s">
        <v>13</v>
      </c>
      <c r="G151" t="s">
        <v>14</v>
      </c>
      <c r="H151" t="s">
        <v>37</v>
      </c>
      <c r="I151">
        <v>46.8</v>
      </c>
      <c r="J151">
        <v>3</v>
      </c>
      <c r="K151" t="str">
        <f t="shared" si="4"/>
        <v>Payment</v>
      </c>
      <c r="L151" t="str">
        <f t="shared" si="5"/>
        <v>Email</v>
      </c>
    </row>
    <row r="152" spans="1:12" x14ac:dyDescent="0.3">
      <c r="A152" t="s">
        <v>56</v>
      </c>
      <c r="B152" s="1">
        <v>45762.254166666666</v>
      </c>
      <c r="C152" s="1">
        <v>45764.237500000003</v>
      </c>
      <c r="D152" t="s">
        <v>28</v>
      </c>
      <c r="E152" t="s">
        <v>22</v>
      </c>
      <c r="F152" t="s">
        <v>19</v>
      </c>
      <c r="G152" t="s">
        <v>14</v>
      </c>
      <c r="H152" t="s">
        <v>39</v>
      </c>
      <c r="I152">
        <v>47.6</v>
      </c>
      <c r="J152">
        <v>3</v>
      </c>
      <c r="K152" t="str">
        <f t="shared" si="4"/>
        <v>Account</v>
      </c>
      <c r="L152" t="str">
        <f t="shared" si="5"/>
        <v>Social Media</v>
      </c>
    </row>
    <row r="153" spans="1:12" x14ac:dyDescent="0.3">
      <c r="A153" t="s">
        <v>403</v>
      </c>
      <c r="B153" s="1">
        <v>45749.522222222222</v>
      </c>
      <c r="C153" s="1">
        <v>45751.55972222222</v>
      </c>
      <c r="D153" t="s">
        <v>36</v>
      </c>
      <c r="E153" t="s">
        <v>12</v>
      </c>
      <c r="F153" t="s">
        <v>19</v>
      </c>
      <c r="G153" t="s">
        <v>14</v>
      </c>
      <c r="H153" t="s">
        <v>41</v>
      </c>
      <c r="I153">
        <v>48.9</v>
      </c>
      <c r="J153">
        <v>3</v>
      </c>
      <c r="K153" t="str">
        <f t="shared" si="4"/>
        <v>Payment</v>
      </c>
      <c r="L153" t="str">
        <f t="shared" si="5"/>
        <v>Email</v>
      </c>
    </row>
    <row r="154" spans="1:12" x14ac:dyDescent="0.3">
      <c r="A154" t="s">
        <v>505</v>
      </c>
      <c r="B154" s="1">
        <v>45786.738888888889</v>
      </c>
      <c r="C154" s="1">
        <v>45788.876388888886</v>
      </c>
      <c r="D154" t="s">
        <v>47</v>
      </c>
      <c r="E154" t="s">
        <v>22</v>
      </c>
      <c r="F154" t="s">
        <v>19</v>
      </c>
      <c r="G154" t="s">
        <v>14</v>
      </c>
      <c r="H154" t="s">
        <v>24</v>
      </c>
      <c r="I154">
        <v>51.3</v>
      </c>
      <c r="J154">
        <v>3</v>
      </c>
      <c r="K154" t="str">
        <f t="shared" si="4"/>
        <v>Product Information</v>
      </c>
      <c r="L154" t="str">
        <f t="shared" si="5"/>
        <v>Social Media</v>
      </c>
    </row>
    <row r="155" spans="1:12" x14ac:dyDescent="0.3">
      <c r="A155" t="s">
        <v>179</v>
      </c>
      <c r="B155" s="1">
        <v>45679.102083333331</v>
      </c>
      <c r="C155" s="1">
        <v>45681.339583333334</v>
      </c>
      <c r="D155" t="s">
        <v>36</v>
      </c>
      <c r="E155" t="s">
        <v>12</v>
      </c>
      <c r="F155" t="s">
        <v>23</v>
      </c>
      <c r="G155" t="s">
        <v>14</v>
      </c>
      <c r="H155" t="s">
        <v>34</v>
      </c>
      <c r="I155">
        <v>53.7</v>
      </c>
      <c r="J155">
        <v>3</v>
      </c>
      <c r="K155" t="str">
        <f t="shared" si="4"/>
        <v>Payment</v>
      </c>
      <c r="L155" t="str">
        <f t="shared" si="5"/>
        <v>Email</v>
      </c>
    </row>
    <row r="156" spans="1:12" x14ac:dyDescent="0.3">
      <c r="A156" t="s">
        <v>445</v>
      </c>
      <c r="B156" s="1">
        <v>45742.927083333336</v>
      </c>
      <c r="C156" s="1">
        <v>45745.168749999997</v>
      </c>
      <c r="D156" t="s">
        <v>32</v>
      </c>
      <c r="E156" t="s">
        <v>12</v>
      </c>
      <c r="F156" t="s">
        <v>23</v>
      </c>
      <c r="G156" t="s">
        <v>14</v>
      </c>
      <c r="H156" t="s">
        <v>24</v>
      </c>
      <c r="I156">
        <v>53.8</v>
      </c>
      <c r="J156">
        <v>3</v>
      </c>
      <c r="K156" t="str">
        <f t="shared" si="4"/>
        <v>Technical Issue</v>
      </c>
      <c r="L156" t="str">
        <f t="shared" si="5"/>
        <v>Email</v>
      </c>
    </row>
    <row r="157" spans="1:12" x14ac:dyDescent="0.3">
      <c r="A157" t="s">
        <v>45</v>
      </c>
      <c r="B157" s="1">
        <v>45832.741666666669</v>
      </c>
      <c r="C157" s="1">
        <v>45835.054166666669</v>
      </c>
      <c r="D157" t="s">
        <v>17</v>
      </c>
      <c r="E157" t="s">
        <v>26</v>
      </c>
      <c r="F157" t="s">
        <v>19</v>
      </c>
      <c r="G157" t="s">
        <v>14</v>
      </c>
      <c r="H157" t="s">
        <v>37</v>
      </c>
      <c r="I157">
        <v>55.5</v>
      </c>
      <c r="J157">
        <v>3</v>
      </c>
      <c r="K157" t="str">
        <f t="shared" si="4"/>
        <v>Delivery</v>
      </c>
      <c r="L157" t="str">
        <f t="shared" si="5"/>
        <v>Phone</v>
      </c>
    </row>
    <row r="158" spans="1:12" x14ac:dyDescent="0.3">
      <c r="A158" t="s">
        <v>257</v>
      </c>
      <c r="B158" s="1">
        <v>45690.142361111109</v>
      </c>
      <c r="C158" s="1">
        <v>45692.529861111114</v>
      </c>
      <c r="D158" t="s">
        <v>47</v>
      </c>
      <c r="E158" t="s">
        <v>26</v>
      </c>
      <c r="F158" t="s">
        <v>33</v>
      </c>
      <c r="G158" t="s">
        <v>14</v>
      </c>
      <c r="H158" t="s">
        <v>20</v>
      </c>
      <c r="I158">
        <v>57.3</v>
      </c>
      <c r="J158">
        <v>3</v>
      </c>
      <c r="K158" t="str">
        <f t="shared" si="4"/>
        <v>Product Information</v>
      </c>
      <c r="L158" t="str">
        <f t="shared" si="5"/>
        <v>Phone</v>
      </c>
    </row>
    <row r="159" spans="1:12" x14ac:dyDescent="0.3">
      <c r="A159" t="s">
        <v>111</v>
      </c>
      <c r="B159" s="1">
        <v>45704.634027777778</v>
      </c>
      <c r="C159" s="1">
        <v>45707.029861111114</v>
      </c>
      <c r="D159" t="s">
        <v>32</v>
      </c>
      <c r="E159" t="s">
        <v>26</v>
      </c>
      <c r="F159" t="s">
        <v>13</v>
      </c>
      <c r="G159" t="s">
        <v>14</v>
      </c>
      <c r="H159" t="s">
        <v>20</v>
      </c>
      <c r="I159">
        <v>57.5</v>
      </c>
      <c r="J159">
        <v>3</v>
      </c>
      <c r="K159" t="str">
        <f t="shared" si="4"/>
        <v>Technical Issue</v>
      </c>
      <c r="L159" t="str">
        <f t="shared" si="5"/>
        <v>Phone</v>
      </c>
    </row>
    <row r="160" spans="1:12" x14ac:dyDescent="0.3">
      <c r="A160" t="s">
        <v>415</v>
      </c>
      <c r="B160" s="1">
        <v>45703.317361111112</v>
      </c>
      <c r="C160" s="1">
        <v>45705.738194444442</v>
      </c>
      <c r="D160" t="s">
        <v>47</v>
      </c>
      <c r="E160" t="s">
        <v>12</v>
      </c>
      <c r="F160" t="s">
        <v>23</v>
      </c>
      <c r="G160" t="s">
        <v>14</v>
      </c>
      <c r="H160" t="s">
        <v>37</v>
      </c>
      <c r="I160">
        <v>58.1</v>
      </c>
      <c r="J160">
        <v>3</v>
      </c>
      <c r="K160" t="str">
        <f t="shared" si="4"/>
        <v>Product Information</v>
      </c>
      <c r="L160" t="str">
        <f t="shared" si="5"/>
        <v>Email</v>
      </c>
    </row>
    <row r="161" spans="1:12" x14ac:dyDescent="0.3">
      <c r="A161" t="s">
        <v>158</v>
      </c>
      <c r="B161" s="1">
        <v>45793.706944444442</v>
      </c>
      <c r="C161" s="1">
        <v>45796.202777777777</v>
      </c>
      <c r="D161" t="s">
        <v>28</v>
      </c>
      <c r="E161" t="s">
        <v>26</v>
      </c>
      <c r="F161" t="s">
        <v>23</v>
      </c>
      <c r="G161" t="s">
        <v>14</v>
      </c>
      <c r="H161" t="s">
        <v>34</v>
      </c>
      <c r="I161">
        <v>59.9</v>
      </c>
      <c r="J161">
        <v>3</v>
      </c>
      <c r="K161" t="str">
        <f t="shared" si="4"/>
        <v>Account</v>
      </c>
      <c r="L161" t="str">
        <f t="shared" si="5"/>
        <v>Phone</v>
      </c>
    </row>
    <row r="162" spans="1:12" x14ac:dyDescent="0.3">
      <c r="A162" t="s">
        <v>216</v>
      </c>
      <c r="B162" s="1">
        <v>45715.013888888891</v>
      </c>
      <c r="C162" s="1">
        <v>45717.534722222219</v>
      </c>
      <c r="D162" t="s">
        <v>36</v>
      </c>
      <c r="E162" t="s">
        <v>18</v>
      </c>
      <c r="F162" t="s">
        <v>13</v>
      </c>
      <c r="G162" t="s">
        <v>14</v>
      </c>
      <c r="H162" t="s">
        <v>24</v>
      </c>
      <c r="I162">
        <v>60.5</v>
      </c>
      <c r="J162">
        <v>3</v>
      </c>
      <c r="K162" t="str">
        <f t="shared" si="4"/>
        <v>Payment</v>
      </c>
      <c r="L162" t="str">
        <f t="shared" si="5"/>
        <v>Chat</v>
      </c>
    </row>
    <row r="163" spans="1:12" x14ac:dyDescent="0.3">
      <c r="A163" t="s">
        <v>322</v>
      </c>
      <c r="B163" s="1">
        <v>45671.143750000003</v>
      </c>
      <c r="C163" s="1">
        <v>45673.664583333331</v>
      </c>
      <c r="D163" t="s">
        <v>47</v>
      </c>
      <c r="E163" t="s">
        <v>22</v>
      </c>
      <c r="F163" t="s">
        <v>23</v>
      </c>
      <c r="G163" t="s">
        <v>14</v>
      </c>
      <c r="H163" t="s">
        <v>39</v>
      </c>
      <c r="I163">
        <v>60.5</v>
      </c>
      <c r="J163">
        <v>3</v>
      </c>
      <c r="K163" t="str">
        <f t="shared" si="4"/>
        <v>Product Information</v>
      </c>
      <c r="L163" t="str">
        <f t="shared" si="5"/>
        <v>Social Media</v>
      </c>
    </row>
    <row r="164" spans="1:12" x14ac:dyDescent="0.3">
      <c r="A164" t="s">
        <v>227</v>
      </c>
      <c r="B164" s="1">
        <v>45731.496527777781</v>
      </c>
      <c r="C164" s="1">
        <v>45734.09652777778</v>
      </c>
      <c r="D164" t="s">
        <v>32</v>
      </c>
      <c r="E164" t="s">
        <v>12</v>
      </c>
      <c r="F164" t="s">
        <v>23</v>
      </c>
      <c r="G164" t="s">
        <v>14</v>
      </c>
      <c r="H164" t="s">
        <v>15</v>
      </c>
      <c r="I164">
        <v>62.4</v>
      </c>
      <c r="J164">
        <v>3</v>
      </c>
      <c r="K164" t="str">
        <f t="shared" si="4"/>
        <v>Technical Issue</v>
      </c>
      <c r="L164" t="str">
        <f t="shared" si="5"/>
        <v>Email</v>
      </c>
    </row>
    <row r="165" spans="1:12" x14ac:dyDescent="0.3">
      <c r="A165" t="s">
        <v>483</v>
      </c>
      <c r="B165" s="1">
        <v>45670.161111111112</v>
      </c>
      <c r="C165" s="1">
        <v>45672.786111111112</v>
      </c>
      <c r="D165" t="s">
        <v>32</v>
      </c>
      <c r="E165" t="s">
        <v>26</v>
      </c>
      <c r="F165" t="s">
        <v>19</v>
      </c>
      <c r="G165" t="s">
        <v>14</v>
      </c>
      <c r="H165" t="s">
        <v>34</v>
      </c>
      <c r="I165">
        <v>63</v>
      </c>
      <c r="J165">
        <v>3</v>
      </c>
      <c r="K165" t="str">
        <f t="shared" si="4"/>
        <v>Technical Issue</v>
      </c>
      <c r="L165" t="str">
        <f t="shared" si="5"/>
        <v>Phone</v>
      </c>
    </row>
    <row r="166" spans="1:12" x14ac:dyDescent="0.3">
      <c r="A166" t="s">
        <v>392</v>
      </c>
      <c r="B166" s="1">
        <v>45790.059027777781</v>
      </c>
      <c r="C166" s="1">
        <v>45792.692361111112</v>
      </c>
      <c r="D166" t="s">
        <v>32</v>
      </c>
      <c r="E166" t="s">
        <v>26</v>
      </c>
      <c r="F166" t="s">
        <v>13</v>
      </c>
      <c r="G166" t="s">
        <v>14</v>
      </c>
      <c r="H166" t="s">
        <v>41</v>
      </c>
      <c r="I166">
        <v>63.2</v>
      </c>
      <c r="J166">
        <v>3</v>
      </c>
      <c r="K166" t="str">
        <f t="shared" si="4"/>
        <v>Technical Issue</v>
      </c>
      <c r="L166" t="str">
        <f t="shared" si="5"/>
        <v>Phone</v>
      </c>
    </row>
    <row r="167" spans="1:12" x14ac:dyDescent="0.3">
      <c r="A167" t="s">
        <v>205</v>
      </c>
      <c r="B167" s="1">
        <v>45678.779166666667</v>
      </c>
      <c r="C167" s="1">
        <v>45681.529166666667</v>
      </c>
      <c r="D167" t="s">
        <v>11</v>
      </c>
      <c r="E167" t="s">
        <v>22</v>
      </c>
      <c r="F167" t="s">
        <v>33</v>
      </c>
      <c r="G167" t="s">
        <v>14</v>
      </c>
      <c r="H167" t="s">
        <v>34</v>
      </c>
      <c r="I167">
        <v>66</v>
      </c>
      <c r="J167">
        <v>3</v>
      </c>
      <c r="K167" t="str">
        <f t="shared" si="4"/>
        <v>Refund</v>
      </c>
      <c r="L167" t="str">
        <f t="shared" si="5"/>
        <v>Social Media</v>
      </c>
    </row>
    <row r="168" spans="1:12" x14ac:dyDescent="0.3">
      <c r="A168" t="s">
        <v>183</v>
      </c>
      <c r="B168" s="1">
        <v>45665.220138888886</v>
      </c>
      <c r="C168" s="1">
        <v>45667.986805555556</v>
      </c>
      <c r="D168" t="s">
        <v>184</v>
      </c>
      <c r="E168" t="s">
        <v>18</v>
      </c>
      <c r="F168" t="s">
        <v>33</v>
      </c>
      <c r="G168" t="s">
        <v>14</v>
      </c>
      <c r="H168" t="s">
        <v>15</v>
      </c>
      <c r="I168">
        <v>66.400000000000006</v>
      </c>
      <c r="J168">
        <v>3</v>
      </c>
      <c r="K168" t="str">
        <f t="shared" si="4"/>
        <v>Payment</v>
      </c>
      <c r="L168" t="str">
        <f t="shared" si="5"/>
        <v>Chat</v>
      </c>
    </row>
    <row r="169" spans="1:12" x14ac:dyDescent="0.3">
      <c r="A169" t="s">
        <v>302</v>
      </c>
      <c r="B169" s="1">
        <v>45723.26458333333</v>
      </c>
      <c r="C169" s="1">
        <v>45726.03125</v>
      </c>
      <c r="D169" t="s">
        <v>17</v>
      </c>
      <c r="E169" t="s">
        <v>18</v>
      </c>
      <c r="F169" t="s">
        <v>13</v>
      </c>
      <c r="G169" t="s">
        <v>14</v>
      </c>
      <c r="H169" t="s">
        <v>24</v>
      </c>
      <c r="I169">
        <v>66.400000000000006</v>
      </c>
      <c r="J169">
        <v>3</v>
      </c>
      <c r="K169" t="str">
        <f t="shared" si="4"/>
        <v>Delivery</v>
      </c>
      <c r="L169" t="str">
        <f t="shared" si="5"/>
        <v>Chat</v>
      </c>
    </row>
    <row r="170" spans="1:12" x14ac:dyDescent="0.3">
      <c r="A170" t="s">
        <v>332</v>
      </c>
      <c r="B170" s="1">
        <v>45685.179861111108</v>
      </c>
      <c r="C170" s="1">
        <v>45688.025694444441</v>
      </c>
      <c r="D170" t="s">
        <v>47</v>
      </c>
      <c r="E170" t="s">
        <v>22</v>
      </c>
      <c r="F170" t="s">
        <v>23</v>
      </c>
      <c r="G170" t="s">
        <v>14</v>
      </c>
      <c r="H170" t="s">
        <v>41</v>
      </c>
      <c r="I170">
        <v>68.3</v>
      </c>
      <c r="J170">
        <v>3</v>
      </c>
      <c r="K170" t="str">
        <f t="shared" si="4"/>
        <v>Product Information</v>
      </c>
      <c r="L170" t="str">
        <f t="shared" si="5"/>
        <v>Social Media</v>
      </c>
    </row>
    <row r="171" spans="1:12" x14ac:dyDescent="0.3">
      <c r="A171" t="s">
        <v>119</v>
      </c>
      <c r="B171" s="1">
        <v>45780.597916666666</v>
      </c>
      <c r="C171" s="1">
        <v>45783.493750000001</v>
      </c>
      <c r="D171" t="s">
        <v>28</v>
      </c>
      <c r="E171" t="s">
        <v>120</v>
      </c>
      <c r="F171" t="s">
        <v>13</v>
      </c>
      <c r="G171" t="s">
        <v>14</v>
      </c>
      <c r="H171" t="s">
        <v>15</v>
      </c>
      <c r="I171">
        <v>69.5</v>
      </c>
      <c r="J171">
        <v>3</v>
      </c>
      <c r="K171" t="str">
        <f t="shared" si="4"/>
        <v>Account</v>
      </c>
      <c r="L171" t="str">
        <f t="shared" si="5"/>
        <v>email</v>
      </c>
    </row>
    <row r="172" spans="1:12" x14ac:dyDescent="0.3">
      <c r="A172" t="s">
        <v>411</v>
      </c>
      <c r="B172" s="1">
        <v>45819.743055555555</v>
      </c>
      <c r="C172" s="1">
        <v>45822.709722222222</v>
      </c>
      <c r="D172" t="s">
        <v>28</v>
      </c>
      <c r="E172" t="s">
        <v>22</v>
      </c>
      <c r="F172" t="s">
        <v>23</v>
      </c>
      <c r="G172" t="s">
        <v>14</v>
      </c>
      <c r="H172" t="s">
        <v>30</v>
      </c>
      <c r="I172">
        <v>71.2</v>
      </c>
      <c r="J172">
        <v>3</v>
      </c>
      <c r="K172" t="str">
        <f t="shared" si="4"/>
        <v>Account</v>
      </c>
      <c r="L172" t="str">
        <f t="shared" si="5"/>
        <v>Social Media</v>
      </c>
    </row>
    <row r="173" spans="1:12" x14ac:dyDescent="0.3">
      <c r="A173" t="s">
        <v>370</v>
      </c>
      <c r="B173" s="1">
        <v>45767.836805555555</v>
      </c>
      <c r="C173" s="1">
        <v>45767.861805555556</v>
      </c>
      <c r="D173" t="s">
        <v>17</v>
      </c>
      <c r="E173" t="s">
        <v>18</v>
      </c>
      <c r="F173" t="s">
        <v>33</v>
      </c>
      <c r="G173" t="s">
        <v>14</v>
      </c>
      <c r="H173" t="s">
        <v>41</v>
      </c>
      <c r="I173">
        <v>0.6</v>
      </c>
      <c r="J173">
        <v>4</v>
      </c>
      <c r="K173" t="str">
        <f t="shared" si="4"/>
        <v>Delivery</v>
      </c>
      <c r="L173" t="str">
        <f t="shared" si="5"/>
        <v>Chat</v>
      </c>
    </row>
    <row r="174" spans="1:12" x14ac:dyDescent="0.3">
      <c r="A174" t="s">
        <v>154</v>
      </c>
      <c r="B174" s="1">
        <v>45805.405555555553</v>
      </c>
      <c r="C174" s="1">
        <v>45805.493055555555</v>
      </c>
      <c r="D174" t="s">
        <v>32</v>
      </c>
      <c r="E174" t="s">
        <v>12</v>
      </c>
      <c r="F174" t="s">
        <v>13</v>
      </c>
      <c r="G174" t="s">
        <v>14</v>
      </c>
      <c r="H174" t="s">
        <v>41</v>
      </c>
      <c r="I174">
        <v>2.1</v>
      </c>
      <c r="J174">
        <v>4</v>
      </c>
      <c r="K174" t="str">
        <f t="shared" si="4"/>
        <v>Technical Issue</v>
      </c>
      <c r="L174" t="str">
        <f t="shared" si="5"/>
        <v>Email</v>
      </c>
    </row>
    <row r="175" spans="1:12" x14ac:dyDescent="0.3">
      <c r="A175" t="s">
        <v>202</v>
      </c>
      <c r="B175" s="1">
        <v>45679.695138888892</v>
      </c>
      <c r="C175" s="1">
        <v>45679.832638888889</v>
      </c>
      <c r="D175" t="s">
        <v>28</v>
      </c>
      <c r="E175" t="s">
        <v>18</v>
      </c>
      <c r="F175" t="s">
        <v>23</v>
      </c>
      <c r="G175" t="s">
        <v>14</v>
      </c>
      <c r="H175" t="s">
        <v>30</v>
      </c>
      <c r="I175">
        <v>3.3</v>
      </c>
      <c r="J175">
        <v>4</v>
      </c>
      <c r="K175" t="str">
        <f t="shared" si="4"/>
        <v>Account</v>
      </c>
      <c r="L175" t="str">
        <f t="shared" si="5"/>
        <v>Chat</v>
      </c>
    </row>
    <row r="176" spans="1:12" x14ac:dyDescent="0.3">
      <c r="A176" t="s">
        <v>367</v>
      </c>
      <c r="B176" s="1">
        <v>45745.908333333333</v>
      </c>
      <c r="C176" s="1">
        <v>45746.066666666666</v>
      </c>
      <c r="D176" t="s">
        <v>17</v>
      </c>
      <c r="E176" t="s">
        <v>12</v>
      </c>
      <c r="F176" t="s">
        <v>33</v>
      </c>
      <c r="G176" t="s">
        <v>14</v>
      </c>
      <c r="H176" t="s">
        <v>41</v>
      </c>
      <c r="I176">
        <v>3.8</v>
      </c>
      <c r="J176">
        <v>4</v>
      </c>
      <c r="K176" t="str">
        <f t="shared" si="4"/>
        <v>Delivery</v>
      </c>
      <c r="L176" t="str">
        <f t="shared" si="5"/>
        <v>Email</v>
      </c>
    </row>
    <row r="177" spans="1:12" x14ac:dyDescent="0.3">
      <c r="A177" t="s">
        <v>225</v>
      </c>
      <c r="B177" s="1">
        <v>45819.243750000001</v>
      </c>
      <c r="C177" s="1">
        <v>45819.45208333333</v>
      </c>
      <c r="D177" t="s">
        <v>17</v>
      </c>
      <c r="E177" t="s">
        <v>26</v>
      </c>
      <c r="F177" t="s">
        <v>33</v>
      </c>
      <c r="G177" t="s">
        <v>14</v>
      </c>
      <c r="H177" t="s">
        <v>39</v>
      </c>
      <c r="I177">
        <v>5</v>
      </c>
      <c r="J177">
        <v>4</v>
      </c>
      <c r="K177" t="str">
        <f t="shared" si="4"/>
        <v>Delivery</v>
      </c>
      <c r="L177" t="str">
        <f t="shared" si="5"/>
        <v>Phone</v>
      </c>
    </row>
    <row r="178" spans="1:12" x14ac:dyDescent="0.3">
      <c r="A178" t="s">
        <v>240</v>
      </c>
      <c r="B178" s="1">
        <v>45799.193749999999</v>
      </c>
      <c r="C178" s="1">
        <v>45799.410416666666</v>
      </c>
      <c r="D178" t="s">
        <v>11</v>
      </c>
      <c r="E178" t="s">
        <v>22</v>
      </c>
      <c r="F178" t="s">
        <v>19</v>
      </c>
      <c r="G178" t="s">
        <v>14</v>
      </c>
      <c r="H178" t="s">
        <v>15</v>
      </c>
      <c r="I178">
        <v>5.2</v>
      </c>
      <c r="J178">
        <v>4</v>
      </c>
      <c r="K178" t="str">
        <f t="shared" si="4"/>
        <v>Refund</v>
      </c>
      <c r="L178" t="str">
        <f t="shared" si="5"/>
        <v>Social Media</v>
      </c>
    </row>
    <row r="179" spans="1:12" x14ac:dyDescent="0.3">
      <c r="A179" t="s">
        <v>317</v>
      </c>
      <c r="B179" s="1">
        <v>45833.111805555556</v>
      </c>
      <c r="C179" s="1">
        <v>45833.411805555559</v>
      </c>
      <c r="D179" t="s">
        <v>28</v>
      </c>
      <c r="E179" t="s">
        <v>22</v>
      </c>
      <c r="F179" t="s">
        <v>13</v>
      </c>
      <c r="G179" t="s">
        <v>14</v>
      </c>
      <c r="H179" t="s">
        <v>39</v>
      </c>
      <c r="I179">
        <v>7.2</v>
      </c>
      <c r="J179">
        <v>4</v>
      </c>
      <c r="K179" t="str">
        <f t="shared" si="4"/>
        <v>Account</v>
      </c>
      <c r="L179" t="str">
        <f t="shared" si="5"/>
        <v>Social Media</v>
      </c>
    </row>
    <row r="180" spans="1:12" x14ac:dyDescent="0.3">
      <c r="A180" t="s">
        <v>25</v>
      </c>
      <c r="B180" s="1">
        <v>45697.283333333333</v>
      </c>
      <c r="C180" s="1">
        <v>45697.60833333333</v>
      </c>
      <c r="D180" t="s">
        <v>17</v>
      </c>
      <c r="E180" t="s">
        <v>26</v>
      </c>
      <c r="F180" t="s">
        <v>23</v>
      </c>
      <c r="G180" t="s">
        <v>14</v>
      </c>
      <c r="H180" t="s">
        <v>24</v>
      </c>
      <c r="I180">
        <v>7.8</v>
      </c>
      <c r="J180">
        <v>4</v>
      </c>
      <c r="K180" t="str">
        <f t="shared" si="4"/>
        <v>Delivery</v>
      </c>
      <c r="L180" t="str">
        <f t="shared" si="5"/>
        <v>Phone</v>
      </c>
    </row>
    <row r="181" spans="1:12" x14ac:dyDescent="0.3">
      <c r="A181" t="s">
        <v>494</v>
      </c>
      <c r="B181" s="1">
        <v>45785.986805555556</v>
      </c>
      <c r="C181" s="1">
        <v>45786.311805555553</v>
      </c>
      <c r="D181" t="s">
        <v>17</v>
      </c>
      <c r="E181" t="s">
        <v>12</v>
      </c>
      <c r="F181" t="s">
        <v>13</v>
      </c>
      <c r="G181" t="s">
        <v>14</v>
      </c>
      <c r="H181" t="s">
        <v>24</v>
      </c>
      <c r="I181">
        <v>7.8</v>
      </c>
      <c r="J181">
        <v>4</v>
      </c>
      <c r="K181" t="str">
        <f t="shared" si="4"/>
        <v>Delivery</v>
      </c>
      <c r="L181" t="str">
        <f t="shared" si="5"/>
        <v>Email</v>
      </c>
    </row>
    <row r="182" spans="1:12" x14ac:dyDescent="0.3">
      <c r="A182" t="s">
        <v>134</v>
      </c>
      <c r="B182" s="1">
        <v>45680.427777777775</v>
      </c>
      <c r="C182" s="1">
        <v>45680.794444444444</v>
      </c>
      <c r="D182" t="s">
        <v>47</v>
      </c>
      <c r="E182" t="s">
        <v>12</v>
      </c>
      <c r="F182" t="s">
        <v>19</v>
      </c>
      <c r="G182" t="s">
        <v>14</v>
      </c>
      <c r="H182" t="s">
        <v>15</v>
      </c>
      <c r="I182">
        <v>8.8000000000000007</v>
      </c>
      <c r="J182">
        <v>4</v>
      </c>
      <c r="K182" t="str">
        <f t="shared" si="4"/>
        <v>Product Information</v>
      </c>
      <c r="L182" t="str">
        <f t="shared" si="5"/>
        <v>Email</v>
      </c>
    </row>
    <row r="183" spans="1:12" x14ac:dyDescent="0.3">
      <c r="A183" t="s">
        <v>439</v>
      </c>
      <c r="B183" s="1">
        <v>45702.217361111114</v>
      </c>
      <c r="C183" s="1">
        <v>45702.613194444442</v>
      </c>
      <c r="D183" t="s">
        <v>17</v>
      </c>
      <c r="E183" t="s">
        <v>22</v>
      </c>
      <c r="F183" t="s">
        <v>33</v>
      </c>
      <c r="G183" t="s">
        <v>14</v>
      </c>
      <c r="H183" t="s">
        <v>37</v>
      </c>
      <c r="I183">
        <v>9.5</v>
      </c>
      <c r="J183">
        <v>4</v>
      </c>
      <c r="K183" t="str">
        <f t="shared" si="4"/>
        <v>Delivery</v>
      </c>
      <c r="L183" t="str">
        <f t="shared" si="5"/>
        <v>Social Media</v>
      </c>
    </row>
    <row r="184" spans="1:12" x14ac:dyDescent="0.3">
      <c r="A184" t="s">
        <v>50</v>
      </c>
      <c r="B184" s="1">
        <v>45675.742361111108</v>
      </c>
      <c r="C184" s="1">
        <v>45676.146527777775</v>
      </c>
      <c r="D184" t="s">
        <v>47</v>
      </c>
      <c r="E184" t="s">
        <v>18</v>
      </c>
      <c r="F184" t="s">
        <v>23</v>
      </c>
      <c r="G184" t="s">
        <v>14</v>
      </c>
      <c r="H184" t="s">
        <v>15</v>
      </c>
      <c r="I184">
        <v>9.6999999999999993</v>
      </c>
      <c r="J184">
        <v>4</v>
      </c>
      <c r="K184" t="str">
        <f t="shared" si="4"/>
        <v>Product Information</v>
      </c>
      <c r="L184" t="str">
        <f t="shared" si="5"/>
        <v>Chat</v>
      </c>
    </row>
    <row r="185" spans="1:12" x14ac:dyDescent="0.3">
      <c r="A185" t="s">
        <v>526</v>
      </c>
      <c r="B185" s="1">
        <v>45779.231944444444</v>
      </c>
      <c r="C185" s="1">
        <v>45779.661111111112</v>
      </c>
      <c r="D185" t="s">
        <v>47</v>
      </c>
      <c r="E185" t="s">
        <v>26</v>
      </c>
      <c r="F185" t="s">
        <v>33</v>
      </c>
      <c r="G185" t="s">
        <v>14</v>
      </c>
      <c r="H185" t="s">
        <v>24</v>
      </c>
      <c r="I185">
        <v>10.3</v>
      </c>
      <c r="J185">
        <v>4</v>
      </c>
      <c r="K185" t="str">
        <f t="shared" si="4"/>
        <v>Product Information</v>
      </c>
      <c r="L185" t="str">
        <f t="shared" si="5"/>
        <v>Phone</v>
      </c>
    </row>
    <row r="186" spans="1:12" x14ac:dyDescent="0.3">
      <c r="A186" t="s">
        <v>400</v>
      </c>
      <c r="B186" s="1">
        <v>45807.131249999999</v>
      </c>
      <c r="C186" s="1">
        <v>45807.643750000003</v>
      </c>
      <c r="D186" t="s">
        <v>32</v>
      </c>
      <c r="E186" t="s">
        <v>22</v>
      </c>
      <c r="F186" t="s">
        <v>13</v>
      </c>
      <c r="G186" t="s">
        <v>14</v>
      </c>
      <c r="H186" t="s">
        <v>30</v>
      </c>
      <c r="I186">
        <v>12.3</v>
      </c>
      <c r="J186">
        <v>4</v>
      </c>
      <c r="K186" t="str">
        <f t="shared" si="4"/>
        <v>Technical Issue</v>
      </c>
      <c r="L186" t="str">
        <f t="shared" si="5"/>
        <v>Social Media</v>
      </c>
    </row>
    <row r="187" spans="1:12" x14ac:dyDescent="0.3">
      <c r="A187" t="s">
        <v>428</v>
      </c>
      <c r="B187" s="1">
        <v>45724.12777777778</v>
      </c>
      <c r="C187" s="1">
        <v>45724.656944444447</v>
      </c>
      <c r="D187" t="s">
        <v>36</v>
      </c>
      <c r="E187" t="s">
        <v>12</v>
      </c>
      <c r="F187" t="s">
        <v>13</v>
      </c>
      <c r="G187" t="s">
        <v>14</v>
      </c>
      <c r="H187" t="s">
        <v>30</v>
      </c>
      <c r="I187">
        <v>12.7</v>
      </c>
      <c r="J187">
        <v>4</v>
      </c>
      <c r="K187" t="str">
        <f t="shared" si="4"/>
        <v>Payment</v>
      </c>
      <c r="L187" t="str">
        <f t="shared" si="5"/>
        <v>Email</v>
      </c>
    </row>
    <row r="188" spans="1:12" x14ac:dyDescent="0.3">
      <c r="A188" t="s">
        <v>485</v>
      </c>
      <c r="B188" s="1">
        <v>45681.494444444441</v>
      </c>
      <c r="C188" s="1">
        <v>45682.061111111114</v>
      </c>
      <c r="D188" t="s">
        <v>28</v>
      </c>
      <c r="E188" t="s">
        <v>22</v>
      </c>
      <c r="F188" t="s">
        <v>23</v>
      </c>
      <c r="G188" t="s">
        <v>14</v>
      </c>
      <c r="H188" t="s">
        <v>15</v>
      </c>
      <c r="I188">
        <v>13.6</v>
      </c>
      <c r="J188">
        <v>4</v>
      </c>
      <c r="K188" t="str">
        <f t="shared" si="4"/>
        <v>Account</v>
      </c>
      <c r="L188" t="str">
        <f t="shared" si="5"/>
        <v>Social Media</v>
      </c>
    </row>
    <row r="189" spans="1:12" x14ac:dyDescent="0.3">
      <c r="A189" t="s">
        <v>447</v>
      </c>
      <c r="B189" s="1">
        <v>45734.977777777778</v>
      </c>
      <c r="C189" s="1">
        <v>45735.802777777775</v>
      </c>
      <c r="D189" t="s">
        <v>47</v>
      </c>
      <c r="E189" t="s">
        <v>12</v>
      </c>
      <c r="F189" t="s">
        <v>33</v>
      </c>
      <c r="G189" t="s">
        <v>14</v>
      </c>
      <c r="H189" t="s">
        <v>41</v>
      </c>
      <c r="I189">
        <v>19.8</v>
      </c>
      <c r="J189">
        <v>4</v>
      </c>
      <c r="K189" t="str">
        <f t="shared" si="4"/>
        <v>Product Information</v>
      </c>
      <c r="L189" t="str">
        <f t="shared" si="5"/>
        <v>Email</v>
      </c>
    </row>
    <row r="190" spans="1:12" x14ac:dyDescent="0.3">
      <c r="A190" t="s">
        <v>187</v>
      </c>
      <c r="B190" s="1">
        <v>45698.793749999997</v>
      </c>
      <c r="C190" s="1">
        <v>45699.627083333333</v>
      </c>
      <c r="D190" t="s">
        <v>28</v>
      </c>
      <c r="E190" t="s">
        <v>22</v>
      </c>
      <c r="F190" t="s">
        <v>19</v>
      </c>
      <c r="G190" t="s">
        <v>14</v>
      </c>
      <c r="H190" t="s">
        <v>24</v>
      </c>
      <c r="I190">
        <v>20</v>
      </c>
      <c r="J190">
        <v>4</v>
      </c>
      <c r="K190" t="str">
        <f t="shared" si="4"/>
        <v>Account</v>
      </c>
      <c r="L190" t="str">
        <f t="shared" si="5"/>
        <v>Social Media</v>
      </c>
    </row>
    <row r="191" spans="1:12" x14ac:dyDescent="0.3">
      <c r="A191" t="s">
        <v>345</v>
      </c>
      <c r="B191" s="1">
        <v>45790.232638888891</v>
      </c>
      <c r="C191" s="1">
        <v>45791.240972222222</v>
      </c>
      <c r="D191" t="s">
        <v>28</v>
      </c>
      <c r="E191" t="s">
        <v>18</v>
      </c>
      <c r="F191" t="s">
        <v>19</v>
      </c>
      <c r="G191" t="s">
        <v>14</v>
      </c>
      <c r="H191" t="s">
        <v>37</v>
      </c>
      <c r="I191">
        <v>24.2</v>
      </c>
      <c r="J191">
        <v>4</v>
      </c>
      <c r="K191" t="str">
        <f t="shared" si="4"/>
        <v>Account</v>
      </c>
      <c r="L191" t="str">
        <f t="shared" si="5"/>
        <v>Chat</v>
      </c>
    </row>
    <row r="192" spans="1:12" x14ac:dyDescent="0.3">
      <c r="A192" t="s">
        <v>145</v>
      </c>
      <c r="B192" s="1">
        <v>45677.659722222219</v>
      </c>
      <c r="C192" s="1">
        <v>45678.688888888886</v>
      </c>
      <c r="D192" t="s">
        <v>11</v>
      </c>
      <c r="E192" t="s">
        <v>12</v>
      </c>
      <c r="F192" t="s">
        <v>23</v>
      </c>
      <c r="G192" t="s">
        <v>14</v>
      </c>
      <c r="H192" t="s">
        <v>15</v>
      </c>
      <c r="I192">
        <v>24.7</v>
      </c>
      <c r="J192">
        <v>4</v>
      </c>
      <c r="K192" t="str">
        <f t="shared" si="4"/>
        <v>Refund</v>
      </c>
      <c r="L192" t="str">
        <f t="shared" si="5"/>
        <v>Email</v>
      </c>
    </row>
    <row r="193" spans="1:12" x14ac:dyDescent="0.3">
      <c r="A193" t="s">
        <v>207</v>
      </c>
      <c r="B193" s="1">
        <v>45750.382638888892</v>
      </c>
      <c r="C193" s="1">
        <v>45751.420138888891</v>
      </c>
      <c r="D193" t="s">
        <v>36</v>
      </c>
      <c r="E193" t="s">
        <v>18</v>
      </c>
      <c r="F193" t="s">
        <v>33</v>
      </c>
      <c r="G193" t="s">
        <v>14</v>
      </c>
      <c r="H193" t="s">
        <v>37</v>
      </c>
      <c r="I193">
        <v>24.9</v>
      </c>
      <c r="J193">
        <v>4</v>
      </c>
      <c r="K193" t="str">
        <f t="shared" si="4"/>
        <v>Payment</v>
      </c>
      <c r="L193" t="str">
        <f t="shared" si="5"/>
        <v>Chat</v>
      </c>
    </row>
    <row r="194" spans="1:12" x14ac:dyDescent="0.3">
      <c r="A194" t="s">
        <v>114</v>
      </c>
      <c r="B194" s="1">
        <v>45766.982638888891</v>
      </c>
      <c r="C194" s="1">
        <v>45768.053472222222</v>
      </c>
      <c r="D194" t="s">
        <v>32</v>
      </c>
      <c r="E194" t="s">
        <v>26</v>
      </c>
      <c r="F194" t="s">
        <v>23</v>
      </c>
      <c r="G194" t="s">
        <v>14</v>
      </c>
      <c r="H194" t="s">
        <v>20</v>
      </c>
      <c r="I194">
        <v>25.7</v>
      </c>
      <c r="J194">
        <v>4</v>
      </c>
      <c r="K194" t="str">
        <f t="shared" ref="K194:K257" si="6">TRIM(D194)</f>
        <v>Technical Issue</v>
      </c>
      <c r="L194" t="str">
        <f t="shared" ref="L194:L257" si="7">TRIM(E194)</f>
        <v>Phone</v>
      </c>
    </row>
    <row r="195" spans="1:12" x14ac:dyDescent="0.3">
      <c r="A195" t="s">
        <v>307</v>
      </c>
      <c r="B195" s="1">
        <v>45778.456944444442</v>
      </c>
      <c r="C195" s="1">
        <v>45779.581944444442</v>
      </c>
      <c r="D195" t="s">
        <v>17</v>
      </c>
      <c r="E195" t="s">
        <v>18</v>
      </c>
      <c r="F195" t="s">
        <v>33</v>
      </c>
      <c r="G195" t="s">
        <v>14</v>
      </c>
      <c r="H195" t="s">
        <v>39</v>
      </c>
      <c r="I195">
        <v>27</v>
      </c>
      <c r="J195">
        <v>4</v>
      </c>
      <c r="K195" t="str">
        <f t="shared" si="6"/>
        <v>Delivery</v>
      </c>
      <c r="L195" t="str">
        <f t="shared" si="7"/>
        <v>Chat</v>
      </c>
    </row>
    <row r="196" spans="1:12" x14ac:dyDescent="0.3">
      <c r="A196" t="s">
        <v>97</v>
      </c>
      <c r="B196" s="1">
        <v>45727.563194444447</v>
      </c>
      <c r="C196" s="1">
        <v>45728.742361111108</v>
      </c>
      <c r="D196" t="s">
        <v>11</v>
      </c>
      <c r="E196" t="s">
        <v>18</v>
      </c>
      <c r="F196" t="s">
        <v>19</v>
      </c>
      <c r="G196" t="s">
        <v>14</v>
      </c>
      <c r="H196" t="s">
        <v>37</v>
      </c>
      <c r="I196">
        <v>28.3</v>
      </c>
      <c r="J196">
        <v>4</v>
      </c>
      <c r="K196" t="str">
        <f t="shared" si="6"/>
        <v>Refund</v>
      </c>
      <c r="L196" t="str">
        <f t="shared" si="7"/>
        <v>Chat</v>
      </c>
    </row>
    <row r="197" spans="1:12" x14ac:dyDescent="0.3">
      <c r="A197" t="s">
        <v>136</v>
      </c>
      <c r="B197" s="1">
        <v>45726.713888888888</v>
      </c>
      <c r="C197" s="1">
        <v>45728.038888888892</v>
      </c>
      <c r="D197" t="s">
        <v>17</v>
      </c>
      <c r="E197" t="s">
        <v>12</v>
      </c>
      <c r="F197" t="s">
        <v>33</v>
      </c>
      <c r="G197" t="s">
        <v>14</v>
      </c>
      <c r="H197" t="s">
        <v>37</v>
      </c>
      <c r="I197">
        <v>31.8</v>
      </c>
      <c r="J197">
        <v>4</v>
      </c>
      <c r="K197" t="str">
        <f t="shared" si="6"/>
        <v>Delivery</v>
      </c>
      <c r="L197" t="str">
        <f t="shared" si="7"/>
        <v>Email</v>
      </c>
    </row>
    <row r="198" spans="1:12" x14ac:dyDescent="0.3">
      <c r="A198" t="s">
        <v>343</v>
      </c>
      <c r="B198" s="1">
        <v>45710.6875</v>
      </c>
      <c r="C198" s="1">
        <v>45712.125</v>
      </c>
      <c r="D198" t="s">
        <v>11</v>
      </c>
      <c r="E198" t="s">
        <v>22</v>
      </c>
      <c r="F198" t="s">
        <v>23</v>
      </c>
      <c r="G198" t="s">
        <v>14</v>
      </c>
      <c r="H198" t="s">
        <v>34</v>
      </c>
      <c r="I198">
        <v>34.5</v>
      </c>
      <c r="J198">
        <v>4</v>
      </c>
      <c r="K198" t="str">
        <f t="shared" si="6"/>
        <v>Refund</v>
      </c>
      <c r="L198" t="str">
        <f t="shared" si="7"/>
        <v>Social Media</v>
      </c>
    </row>
    <row r="199" spans="1:12" x14ac:dyDescent="0.3">
      <c r="A199" t="s">
        <v>247</v>
      </c>
      <c r="B199" s="1">
        <v>45818.720833333333</v>
      </c>
      <c r="C199" s="1">
        <v>45820.179166666669</v>
      </c>
      <c r="D199" t="s">
        <v>32</v>
      </c>
      <c r="E199" t="s">
        <v>22</v>
      </c>
      <c r="F199" t="s">
        <v>13</v>
      </c>
      <c r="G199" t="s">
        <v>14</v>
      </c>
      <c r="H199" t="s">
        <v>39</v>
      </c>
      <c r="I199">
        <v>35</v>
      </c>
      <c r="J199">
        <v>4</v>
      </c>
      <c r="K199" t="str">
        <f t="shared" si="6"/>
        <v>Technical Issue</v>
      </c>
      <c r="L199" t="str">
        <f t="shared" si="7"/>
        <v>Social Media</v>
      </c>
    </row>
    <row r="200" spans="1:12" x14ac:dyDescent="0.3">
      <c r="A200" t="s">
        <v>488</v>
      </c>
      <c r="B200" s="1">
        <v>45749.792361111111</v>
      </c>
      <c r="C200" s="1">
        <v>45751.250694444447</v>
      </c>
      <c r="D200" t="s">
        <v>17</v>
      </c>
      <c r="E200" t="s">
        <v>22</v>
      </c>
      <c r="F200" t="s">
        <v>19</v>
      </c>
      <c r="G200" t="s">
        <v>14</v>
      </c>
      <c r="H200" t="s">
        <v>39</v>
      </c>
      <c r="I200">
        <v>35</v>
      </c>
      <c r="J200">
        <v>4</v>
      </c>
      <c r="K200" t="str">
        <f t="shared" si="6"/>
        <v>Delivery</v>
      </c>
      <c r="L200" t="str">
        <f t="shared" si="7"/>
        <v>Social Media</v>
      </c>
    </row>
    <row r="201" spans="1:12" x14ac:dyDescent="0.3">
      <c r="A201" t="s">
        <v>490</v>
      </c>
      <c r="B201" s="1">
        <v>45768.906944444447</v>
      </c>
      <c r="C201" s="1">
        <v>45770.365277777775</v>
      </c>
      <c r="D201" t="s">
        <v>36</v>
      </c>
      <c r="E201" t="s">
        <v>12</v>
      </c>
      <c r="F201" t="s">
        <v>13</v>
      </c>
      <c r="G201" t="s">
        <v>14</v>
      </c>
      <c r="H201" t="s">
        <v>37</v>
      </c>
      <c r="I201">
        <v>35</v>
      </c>
      <c r="J201">
        <v>4</v>
      </c>
      <c r="K201" t="str">
        <f t="shared" si="6"/>
        <v>Payment</v>
      </c>
      <c r="L201" t="str">
        <f t="shared" si="7"/>
        <v>Email</v>
      </c>
    </row>
    <row r="202" spans="1:12" x14ac:dyDescent="0.3">
      <c r="A202" t="s">
        <v>235</v>
      </c>
      <c r="B202" s="1">
        <v>45721.125694444447</v>
      </c>
      <c r="C202" s="1">
        <v>45722.634027777778</v>
      </c>
      <c r="D202" t="s">
        <v>47</v>
      </c>
      <c r="E202" t="s">
        <v>12</v>
      </c>
      <c r="F202" t="s">
        <v>23</v>
      </c>
      <c r="G202" t="s">
        <v>14</v>
      </c>
      <c r="H202" t="s">
        <v>24</v>
      </c>
      <c r="I202">
        <v>36.200000000000003</v>
      </c>
      <c r="J202">
        <v>4</v>
      </c>
      <c r="K202" t="str">
        <f t="shared" si="6"/>
        <v>Product Information</v>
      </c>
      <c r="L202" t="str">
        <f t="shared" si="7"/>
        <v>Email</v>
      </c>
    </row>
    <row r="203" spans="1:12" x14ac:dyDescent="0.3">
      <c r="A203" t="s">
        <v>501</v>
      </c>
      <c r="B203" s="1">
        <v>45659.699305555558</v>
      </c>
      <c r="C203" s="1">
        <v>45661.370138888888</v>
      </c>
      <c r="D203" t="s">
        <v>47</v>
      </c>
      <c r="E203" t="s">
        <v>22</v>
      </c>
      <c r="F203" t="s">
        <v>33</v>
      </c>
      <c r="G203" t="s">
        <v>14</v>
      </c>
      <c r="H203" t="s">
        <v>37</v>
      </c>
      <c r="I203">
        <v>40.1</v>
      </c>
      <c r="J203">
        <v>4</v>
      </c>
      <c r="K203" t="str">
        <f t="shared" si="6"/>
        <v>Product Information</v>
      </c>
      <c r="L203" t="str">
        <f t="shared" si="7"/>
        <v>Social Media</v>
      </c>
    </row>
    <row r="204" spans="1:12" x14ac:dyDescent="0.3">
      <c r="A204" t="s">
        <v>104</v>
      </c>
      <c r="B204" s="1">
        <v>45685.750694444447</v>
      </c>
      <c r="C204" s="1">
        <v>45687.488194444442</v>
      </c>
      <c r="D204" t="s">
        <v>28</v>
      </c>
      <c r="E204" t="s">
        <v>18</v>
      </c>
      <c r="F204" t="s">
        <v>13</v>
      </c>
      <c r="G204" t="s">
        <v>14</v>
      </c>
      <c r="H204" t="s">
        <v>20</v>
      </c>
      <c r="I204">
        <v>41.7</v>
      </c>
      <c r="J204">
        <v>4</v>
      </c>
      <c r="K204" t="str">
        <f t="shared" si="6"/>
        <v>Account</v>
      </c>
      <c r="L204" t="str">
        <f t="shared" si="7"/>
        <v>Chat</v>
      </c>
    </row>
    <row r="205" spans="1:12" x14ac:dyDescent="0.3">
      <c r="A205" t="s">
        <v>320</v>
      </c>
      <c r="B205" s="1">
        <v>45703.417361111111</v>
      </c>
      <c r="C205" s="1">
        <v>45705.188194444447</v>
      </c>
      <c r="D205" t="s">
        <v>17</v>
      </c>
      <c r="E205" t="s">
        <v>26</v>
      </c>
      <c r="F205" t="s">
        <v>33</v>
      </c>
      <c r="G205" t="s">
        <v>14</v>
      </c>
      <c r="H205" t="s">
        <v>20</v>
      </c>
      <c r="I205">
        <v>42.5</v>
      </c>
      <c r="J205">
        <v>4</v>
      </c>
      <c r="K205" t="str">
        <f t="shared" si="6"/>
        <v>Delivery</v>
      </c>
      <c r="L205" t="str">
        <f t="shared" si="7"/>
        <v>Phone</v>
      </c>
    </row>
    <row r="206" spans="1:12" x14ac:dyDescent="0.3">
      <c r="A206" t="s">
        <v>375</v>
      </c>
      <c r="B206" s="1">
        <v>45683.199999999997</v>
      </c>
      <c r="C206" s="1">
        <v>45684.979166666664</v>
      </c>
      <c r="D206" t="s">
        <v>32</v>
      </c>
      <c r="E206" t="s">
        <v>22</v>
      </c>
      <c r="F206" t="s">
        <v>23</v>
      </c>
      <c r="G206" t="s">
        <v>14</v>
      </c>
      <c r="H206" t="s">
        <v>37</v>
      </c>
      <c r="I206">
        <v>42.7</v>
      </c>
      <c r="J206">
        <v>4</v>
      </c>
      <c r="K206" t="str">
        <f t="shared" si="6"/>
        <v>Technical Issue</v>
      </c>
      <c r="L206" t="str">
        <f t="shared" si="7"/>
        <v>Social Media</v>
      </c>
    </row>
    <row r="207" spans="1:12" x14ac:dyDescent="0.3">
      <c r="A207" t="s">
        <v>231</v>
      </c>
      <c r="B207" s="1">
        <v>45747.584722222222</v>
      </c>
      <c r="C207" s="1">
        <v>45749.438888888886</v>
      </c>
      <c r="D207" t="s">
        <v>32</v>
      </c>
      <c r="E207" t="s">
        <v>12</v>
      </c>
      <c r="F207" t="s">
        <v>13</v>
      </c>
      <c r="G207" t="s">
        <v>14</v>
      </c>
      <c r="H207" t="s">
        <v>15</v>
      </c>
      <c r="I207">
        <v>44.5</v>
      </c>
      <c r="J207">
        <v>4</v>
      </c>
      <c r="K207" t="str">
        <f t="shared" si="6"/>
        <v>Technical Issue</v>
      </c>
      <c r="L207" t="str">
        <f t="shared" si="7"/>
        <v>Email</v>
      </c>
    </row>
    <row r="208" spans="1:12" x14ac:dyDescent="0.3">
      <c r="A208" t="s">
        <v>135</v>
      </c>
      <c r="B208" s="1">
        <v>45671.272916666669</v>
      </c>
      <c r="C208" s="1">
        <v>45673.147916666669</v>
      </c>
      <c r="D208" t="s">
        <v>11</v>
      </c>
      <c r="E208" t="s">
        <v>22</v>
      </c>
      <c r="F208" t="s">
        <v>13</v>
      </c>
      <c r="G208" t="s">
        <v>14</v>
      </c>
      <c r="H208" t="s">
        <v>20</v>
      </c>
      <c r="I208">
        <v>45</v>
      </c>
      <c r="J208">
        <v>4</v>
      </c>
      <c r="K208" t="str">
        <f t="shared" si="6"/>
        <v>Refund</v>
      </c>
      <c r="L208" t="str">
        <f t="shared" si="7"/>
        <v>Social Media</v>
      </c>
    </row>
    <row r="209" spans="1:12" x14ac:dyDescent="0.3">
      <c r="A209" t="s">
        <v>118</v>
      </c>
      <c r="B209" s="1">
        <v>45799.405555555553</v>
      </c>
      <c r="C209" s="1">
        <v>45801.326388888891</v>
      </c>
      <c r="D209" t="s">
        <v>17</v>
      </c>
      <c r="E209" t="s">
        <v>12</v>
      </c>
      <c r="F209" t="s">
        <v>23</v>
      </c>
      <c r="G209" t="s">
        <v>14</v>
      </c>
      <c r="H209" t="s">
        <v>41</v>
      </c>
      <c r="I209">
        <v>46.1</v>
      </c>
      <c r="J209">
        <v>4</v>
      </c>
      <c r="K209" t="str">
        <f t="shared" si="6"/>
        <v>Delivery</v>
      </c>
      <c r="L209" t="str">
        <f t="shared" si="7"/>
        <v>Email</v>
      </c>
    </row>
    <row r="210" spans="1:12" x14ac:dyDescent="0.3">
      <c r="A210" t="s">
        <v>152</v>
      </c>
      <c r="B210" s="1">
        <v>45771.484027777777</v>
      </c>
      <c r="C210" s="1">
        <v>45773.40902777778</v>
      </c>
      <c r="D210" t="s">
        <v>11</v>
      </c>
      <c r="E210" t="s">
        <v>26</v>
      </c>
      <c r="F210" t="s">
        <v>19</v>
      </c>
      <c r="G210" t="s">
        <v>14</v>
      </c>
      <c r="H210" t="s">
        <v>24</v>
      </c>
      <c r="I210">
        <v>46.2</v>
      </c>
      <c r="J210">
        <v>4</v>
      </c>
      <c r="K210" t="str">
        <f t="shared" si="6"/>
        <v>Refund</v>
      </c>
      <c r="L210" t="str">
        <f t="shared" si="7"/>
        <v>Phone</v>
      </c>
    </row>
    <row r="211" spans="1:12" x14ac:dyDescent="0.3">
      <c r="A211" t="s">
        <v>241</v>
      </c>
      <c r="B211" s="1">
        <v>45805.088888888888</v>
      </c>
      <c r="C211" s="1">
        <v>45807.022222222222</v>
      </c>
      <c r="D211" t="s">
        <v>28</v>
      </c>
      <c r="E211" t="s">
        <v>26</v>
      </c>
      <c r="F211" t="s">
        <v>33</v>
      </c>
      <c r="G211" t="s">
        <v>14</v>
      </c>
      <c r="H211" t="s">
        <v>37</v>
      </c>
      <c r="I211">
        <v>46.4</v>
      </c>
      <c r="J211">
        <v>4</v>
      </c>
      <c r="K211" t="str">
        <f t="shared" si="6"/>
        <v>Account</v>
      </c>
      <c r="L211" t="str">
        <f t="shared" si="7"/>
        <v>Phone</v>
      </c>
    </row>
    <row r="212" spans="1:12" x14ac:dyDescent="0.3">
      <c r="A212" t="s">
        <v>434</v>
      </c>
      <c r="B212" s="1">
        <v>45783.886111111111</v>
      </c>
      <c r="C212" s="1">
        <v>45785.819444444445</v>
      </c>
      <c r="D212" t="s">
        <v>36</v>
      </c>
      <c r="E212" t="s">
        <v>26</v>
      </c>
      <c r="F212" t="s">
        <v>19</v>
      </c>
      <c r="G212" t="s">
        <v>14</v>
      </c>
      <c r="H212" t="s">
        <v>30</v>
      </c>
      <c r="I212">
        <v>46.4</v>
      </c>
      <c r="J212">
        <v>4</v>
      </c>
      <c r="K212" t="str">
        <f t="shared" si="6"/>
        <v>Payment</v>
      </c>
      <c r="L212" t="str">
        <f t="shared" si="7"/>
        <v>Phone</v>
      </c>
    </row>
    <row r="213" spans="1:12" x14ac:dyDescent="0.3">
      <c r="A213" t="s">
        <v>236</v>
      </c>
      <c r="B213" s="1">
        <v>45772.277083333334</v>
      </c>
      <c r="C213" s="1">
        <v>45774.364583333336</v>
      </c>
      <c r="D213" t="s">
        <v>36</v>
      </c>
      <c r="E213" t="s">
        <v>12</v>
      </c>
      <c r="F213" t="s">
        <v>33</v>
      </c>
      <c r="G213" t="s">
        <v>14</v>
      </c>
      <c r="H213" t="s">
        <v>34</v>
      </c>
      <c r="I213">
        <v>50.1</v>
      </c>
      <c r="J213">
        <v>4</v>
      </c>
      <c r="K213" t="str">
        <f t="shared" si="6"/>
        <v>Payment</v>
      </c>
      <c r="L213" t="str">
        <f t="shared" si="7"/>
        <v>Email</v>
      </c>
    </row>
    <row r="214" spans="1:12" x14ac:dyDescent="0.3">
      <c r="A214" t="s">
        <v>51</v>
      </c>
      <c r="B214" s="1">
        <v>45712.741666666669</v>
      </c>
      <c r="C214" s="1">
        <v>45714.887499999997</v>
      </c>
      <c r="D214" t="s">
        <v>52</v>
      </c>
      <c r="E214" t="s">
        <v>26</v>
      </c>
      <c r="F214" t="s">
        <v>19</v>
      </c>
      <c r="G214" t="s">
        <v>14</v>
      </c>
      <c r="H214" t="s">
        <v>41</v>
      </c>
      <c r="I214">
        <v>51.5</v>
      </c>
      <c r="J214">
        <v>4</v>
      </c>
      <c r="K214" t="str">
        <f t="shared" si="6"/>
        <v>delivery</v>
      </c>
      <c r="L214" t="str">
        <f t="shared" si="7"/>
        <v>Phone</v>
      </c>
    </row>
    <row r="215" spans="1:12" x14ac:dyDescent="0.3">
      <c r="A215" t="s">
        <v>337</v>
      </c>
      <c r="B215" s="1">
        <v>45719.362500000003</v>
      </c>
      <c r="C215" s="1">
        <v>45721.512499999997</v>
      </c>
      <c r="D215" t="s">
        <v>17</v>
      </c>
      <c r="E215" t="s">
        <v>22</v>
      </c>
      <c r="F215" t="s">
        <v>19</v>
      </c>
      <c r="G215" t="s">
        <v>14</v>
      </c>
      <c r="H215" t="s">
        <v>15</v>
      </c>
      <c r="I215">
        <v>51.6</v>
      </c>
      <c r="J215">
        <v>4</v>
      </c>
      <c r="K215" t="str">
        <f t="shared" si="6"/>
        <v>Delivery</v>
      </c>
      <c r="L215" t="str">
        <f t="shared" si="7"/>
        <v>Social Media</v>
      </c>
    </row>
    <row r="216" spans="1:12" x14ac:dyDescent="0.3">
      <c r="A216" t="s">
        <v>255</v>
      </c>
      <c r="B216" s="1">
        <v>45685.547222222223</v>
      </c>
      <c r="C216" s="1">
        <v>45687.734722222223</v>
      </c>
      <c r="D216" t="s">
        <v>32</v>
      </c>
      <c r="E216" t="s">
        <v>12</v>
      </c>
      <c r="F216" t="s">
        <v>19</v>
      </c>
      <c r="G216" t="s">
        <v>14</v>
      </c>
      <c r="H216" t="s">
        <v>39</v>
      </c>
      <c r="I216">
        <v>52.5</v>
      </c>
      <c r="J216">
        <v>4</v>
      </c>
      <c r="K216" t="str">
        <f t="shared" si="6"/>
        <v>Technical Issue</v>
      </c>
      <c r="L216" t="str">
        <f t="shared" si="7"/>
        <v>Email</v>
      </c>
    </row>
    <row r="217" spans="1:12" x14ac:dyDescent="0.3">
      <c r="A217" t="s">
        <v>365</v>
      </c>
      <c r="B217" s="1">
        <v>45741.75</v>
      </c>
      <c r="C217" s="1">
        <v>45743.95</v>
      </c>
      <c r="D217" t="s">
        <v>11</v>
      </c>
      <c r="E217" t="s">
        <v>26</v>
      </c>
      <c r="F217" t="s">
        <v>13</v>
      </c>
      <c r="G217" t="s">
        <v>14</v>
      </c>
      <c r="H217" t="s">
        <v>15</v>
      </c>
      <c r="I217">
        <v>52.8</v>
      </c>
      <c r="J217">
        <v>4</v>
      </c>
      <c r="K217" t="str">
        <f t="shared" si="6"/>
        <v>Refund</v>
      </c>
      <c r="L217" t="str">
        <f t="shared" si="7"/>
        <v>Phone</v>
      </c>
    </row>
    <row r="218" spans="1:12" x14ac:dyDescent="0.3">
      <c r="A218" t="s">
        <v>334</v>
      </c>
      <c r="B218" s="1">
        <v>45703.513888888891</v>
      </c>
      <c r="C218" s="1">
        <v>45705.722222222219</v>
      </c>
      <c r="D218" t="s">
        <v>47</v>
      </c>
      <c r="E218" t="s">
        <v>18</v>
      </c>
      <c r="F218" t="s">
        <v>23</v>
      </c>
      <c r="G218" t="s">
        <v>14</v>
      </c>
      <c r="H218" t="s">
        <v>15</v>
      </c>
      <c r="I218">
        <v>53</v>
      </c>
      <c r="J218">
        <v>4</v>
      </c>
      <c r="K218" t="str">
        <f t="shared" si="6"/>
        <v>Product Information</v>
      </c>
      <c r="L218" t="str">
        <f t="shared" si="7"/>
        <v>Chat</v>
      </c>
    </row>
    <row r="219" spans="1:12" x14ac:dyDescent="0.3">
      <c r="A219" t="s">
        <v>91</v>
      </c>
      <c r="B219" s="1">
        <v>45798.622916666667</v>
      </c>
      <c r="C219" s="1">
        <v>45800.86041666667</v>
      </c>
      <c r="D219" t="s">
        <v>28</v>
      </c>
      <c r="E219" t="s">
        <v>26</v>
      </c>
      <c r="F219" t="s">
        <v>33</v>
      </c>
      <c r="G219" t="s">
        <v>14</v>
      </c>
      <c r="H219" t="s">
        <v>24</v>
      </c>
      <c r="I219">
        <v>53.7</v>
      </c>
      <c r="J219">
        <v>4</v>
      </c>
      <c r="K219" t="str">
        <f t="shared" si="6"/>
        <v>Account</v>
      </c>
      <c r="L219" t="str">
        <f t="shared" si="7"/>
        <v>Phone</v>
      </c>
    </row>
    <row r="220" spans="1:12" x14ac:dyDescent="0.3">
      <c r="A220" t="s">
        <v>300</v>
      </c>
      <c r="B220" s="1">
        <v>45696.39166666667</v>
      </c>
      <c r="C220" s="1">
        <v>45698.658333333333</v>
      </c>
      <c r="D220" t="s">
        <v>36</v>
      </c>
      <c r="E220" t="s">
        <v>18</v>
      </c>
      <c r="F220" t="s">
        <v>23</v>
      </c>
      <c r="G220" t="s">
        <v>14</v>
      </c>
      <c r="H220" t="s">
        <v>37</v>
      </c>
      <c r="I220">
        <v>54.4</v>
      </c>
      <c r="J220">
        <v>4</v>
      </c>
      <c r="K220" t="str">
        <f t="shared" si="6"/>
        <v>Payment</v>
      </c>
      <c r="L220" t="str">
        <f t="shared" si="7"/>
        <v>Chat</v>
      </c>
    </row>
    <row r="221" spans="1:12" x14ac:dyDescent="0.3">
      <c r="A221" t="s">
        <v>217</v>
      </c>
      <c r="B221" s="1">
        <v>45778.953472222223</v>
      </c>
      <c r="C221" s="1">
        <v>45781.236805555556</v>
      </c>
      <c r="D221" t="s">
        <v>28</v>
      </c>
      <c r="E221" t="s">
        <v>12</v>
      </c>
      <c r="F221" t="s">
        <v>13</v>
      </c>
      <c r="G221" t="s">
        <v>14</v>
      </c>
      <c r="H221" t="s">
        <v>39</v>
      </c>
      <c r="I221">
        <v>54.8</v>
      </c>
      <c r="J221">
        <v>4</v>
      </c>
      <c r="K221" t="str">
        <f t="shared" si="6"/>
        <v>Account</v>
      </c>
      <c r="L221" t="str">
        <f t="shared" si="7"/>
        <v>Email</v>
      </c>
    </row>
    <row r="222" spans="1:12" x14ac:dyDescent="0.3">
      <c r="A222" t="s">
        <v>291</v>
      </c>
      <c r="B222" s="1">
        <v>45762.242361111108</v>
      </c>
      <c r="C222" s="1">
        <v>45764.546527777777</v>
      </c>
      <c r="D222" t="s">
        <v>32</v>
      </c>
      <c r="E222" t="s">
        <v>22</v>
      </c>
      <c r="F222" t="s">
        <v>19</v>
      </c>
      <c r="G222" t="s">
        <v>14</v>
      </c>
      <c r="H222" t="s">
        <v>15</v>
      </c>
      <c r="I222">
        <v>55.3</v>
      </c>
      <c r="J222">
        <v>4</v>
      </c>
      <c r="K222" t="str">
        <f t="shared" si="6"/>
        <v>Technical Issue</v>
      </c>
      <c r="L222" t="str">
        <f t="shared" si="7"/>
        <v>Social Media</v>
      </c>
    </row>
    <row r="223" spans="1:12" x14ac:dyDescent="0.3">
      <c r="A223" t="s">
        <v>535</v>
      </c>
      <c r="B223" s="1">
        <v>45780.602777777778</v>
      </c>
      <c r="C223" s="1">
        <v>45782.931944444441</v>
      </c>
      <c r="D223" t="s">
        <v>47</v>
      </c>
      <c r="E223" t="s">
        <v>12</v>
      </c>
      <c r="F223" t="s">
        <v>33</v>
      </c>
      <c r="G223" t="s">
        <v>14</v>
      </c>
      <c r="H223" t="s">
        <v>34</v>
      </c>
      <c r="I223">
        <v>55.9</v>
      </c>
      <c r="J223">
        <v>4</v>
      </c>
      <c r="K223" t="str">
        <f t="shared" si="6"/>
        <v>Product Information</v>
      </c>
      <c r="L223" t="str">
        <f t="shared" si="7"/>
        <v>Email</v>
      </c>
    </row>
    <row r="224" spans="1:12" x14ac:dyDescent="0.3">
      <c r="A224" t="s">
        <v>76</v>
      </c>
      <c r="B224" s="1">
        <v>45703.999305555553</v>
      </c>
      <c r="C224" s="1">
        <v>45706.349305555559</v>
      </c>
      <c r="D224" t="s">
        <v>11</v>
      </c>
      <c r="E224" t="s">
        <v>18</v>
      </c>
      <c r="F224" t="s">
        <v>23</v>
      </c>
      <c r="G224" t="s">
        <v>14</v>
      </c>
      <c r="H224" t="s">
        <v>37</v>
      </c>
      <c r="I224">
        <v>56.4</v>
      </c>
      <c r="J224">
        <v>4</v>
      </c>
      <c r="K224" t="str">
        <f t="shared" si="6"/>
        <v>Refund</v>
      </c>
      <c r="L224" t="str">
        <f t="shared" si="7"/>
        <v>Chat</v>
      </c>
    </row>
    <row r="225" spans="1:12" x14ac:dyDescent="0.3">
      <c r="A225" t="s">
        <v>534</v>
      </c>
      <c r="B225" s="1">
        <v>45701.013888888891</v>
      </c>
      <c r="C225" s="1">
        <v>45703.376388888886</v>
      </c>
      <c r="D225" t="s">
        <v>32</v>
      </c>
      <c r="E225" t="s">
        <v>26</v>
      </c>
      <c r="F225" t="s">
        <v>33</v>
      </c>
      <c r="G225" t="s">
        <v>14</v>
      </c>
      <c r="H225" t="s">
        <v>30</v>
      </c>
      <c r="I225">
        <v>56.7</v>
      </c>
      <c r="J225">
        <v>4</v>
      </c>
      <c r="K225" t="str">
        <f t="shared" si="6"/>
        <v>Technical Issue</v>
      </c>
      <c r="L225" t="str">
        <f t="shared" si="7"/>
        <v>Phone</v>
      </c>
    </row>
    <row r="226" spans="1:12" x14ac:dyDescent="0.3">
      <c r="A226" t="s">
        <v>371</v>
      </c>
      <c r="B226" s="1">
        <v>45660.030555555553</v>
      </c>
      <c r="C226" s="1">
        <v>45662.484722222223</v>
      </c>
      <c r="D226" t="s">
        <v>11</v>
      </c>
      <c r="E226" t="s">
        <v>18</v>
      </c>
      <c r="F226" t="s">
        <v>19</v>
      </c>
      <c r="G226" t="s">
        <v>14</v>
      </c>
      <c r="H226" t="s">
        <v>34</v>
      </c>
      <c r="I226">
        <v>58.9</v>
      </c>
      <c r="J226">
        <v>4</v>
      </c>
      <c r="K226" t="str">
        <f t="shared" si="6"/>
        <v>Refund</v>
      </c>
      <c r="L226" t="str">
        <f t="shared" si="7"/>
        <v>Chat</v>
      </c>
    </row>
    <row r="227" spans="1:12" x14ac:dyDescent="0.3">
      <c r="A227" t="s">
        <v>159</v>
      </c>
      <c r="B227" s="1">
        <v>45777.089583333334</v>
      </c>
      <c r="C227" s="1">
        <v>45779.67291666667</v>
      </c>
      <c r="D227" t="s">
        <v>47</v>
      </c>
      <c r="E227" t="s">
        <v>26</v>
      </c>
      <c r="F227" t="s">
        <v>13</v>
      </c>
      <c r="G227" t="s">
        <v>14</v>
      </c>
      <c r="H227" t="s">
        <v>15</v>
      </c>
      <c r="I227">
        <v>62</v>
      </c>
      <c r="J227">
        <v>4</v>
      </c>
      <c r="K227" t="str">
        <f t="shared" si="6"/>
        <v>Product Information</v>
      </c>
      <c r="L227" t="str">
        <f t="shared" si="7"/>
        <v>Phone</v>
      </c>
    </row>
    <row r="228" spans="1:12" x14ac:dyDescent="0.3">
      <c r="A228" t="s">
        <v>520</v>
      </c>
      <c r="B228" s="1">
        <v>45711.902777777781</v>
      </c>
      <c r="C228" s="1">
        <v>45714.498611111114</v>
      </c>
      <c r="D228" t="s">
        <v>17</v>
      </c>
      <c r="E228" t="s">
        <v>18</v>
      </c>
      <c r="F228" t="s">
        <v>19</v>
      </c>
      <c r="G228" t="s">
        <v>14</v>
      </c>
      <c r="H228" t="s">
        <v>34</v>
      </c>
      <c r="I228">
        <v>62.3</v>
      </c>
      <c r="J228">
        <v>4</v>
      </c>
      <c r="K228" t="str">
        <f t="shared" si="6"/>
        <v>Delivery</v>
      </c>
      <c r="L228" t="str">
        <f t="shared" si="7"/>
        <v>Chat</v>
      </c>
    </row>
    <row r="229" spans="1:12" x14ac:dyDescent="0.3">
      <c r="A229" t="s">
        <v>426</v>
      </c>
      <c r="B229" s="1">
        <v>45770.976388888892</v>
      </c>
      <c r="C229" s="1">
        <v>45773.630555555559</v>
      </c>
      <c r="D229" t="s">
        <v>28</v>
      </c>
      <c r="E229" t="s">
        <v>26</v>
      </c>
      <c r="F229" t="s">
        <v>19</v>
      </c>
      <c r="G229" t="s">
        <v>14</v>
      </c>
      <c r="H229" t="s">
        <v>34</v>
      </c>
      <c r="I229">
        <v>63.7</v>
      </c>
      <c r="J229">
        <v>4</v>
      </c>
      <c r="K229" t="str">
        <f t="shared" si="6"/>
        <v>Account</v>
      </c>
      <c r="L229" t="str">
        <f t="shared" si="7"/>
        <v>Phone</v>
      </c>
    </row>
    <row r="230" spans="1:12" x14ac:dyDescent="0.3">
      <c r="A230" t="s">
        <v>460</v>
      </c>
      <c r="B230" s="1">
        <v>45825.637499999997</v>
      </c>
      <c r="C230" s="1">
        <v>45828.35833333333</v>
      </c>
      <c r="D230" t="s">
        <v>28</v>
      </c>
      <c r="E230" t="s">
        <v>12</v>
      </c>
      <c r="F230" t="s">
        <v>33</v>
      </c>
      <c r="G230" t="s">
        <v>14</v>
      </c>
      <c r="H230" t="s">
        <v>30</v>
      </c>
      <c r="I230">
        <v>65.3</v>
      </c>
      <c r="J230">
        <v>4</v>
      </c>
      <c r="K230" t="str">
        <f t="shared" si="6"/>
        <v>Account</v>
      </c>
      <c r="L230" t="str">
        <f t="shared" si="7"/>
        <v>Email</v>
      </c>
    </row>
    <row r="231" spans="1:12" x14ac:dyDescent="0.3">
      <c r="A231" t="s">
        <v>407</v>
      </c>
      <c r="B231" s="1">
        <v>45668.585416666669</v>
      </c>
      <c r="C231" s="1">
        <v>45671.36041666667</v>
      </c>
      <c r="D231" t="s">
        <v>11</v>
      </c>
      <c r="E231" t="s">
        <v>22</v>
      </c>
      <c r="F231" t="s">
        <v>19</v>
      </c>
      <c r="G231" t="s">
        <v>14</v>
      </c>
      <c r="H231" t="s">
        <v>39</v>
      </c>
      <c r="I231">
        <v>66.599999999999994</v>
      </c>
      <c r="J231">
        <v>4</v>
      </c>
      <c r="K231" t="str">
        <f t="shared" si="6"/>
        <v>Refund</v>
      </c>
      <c r="L231" t="str">
        <f t="shared" si="7"/>
        <v>Social Media</v>
      </c>
    </row>
    <row r="232" spans="1:12" x14ac:dyDescent="0.3">
      <c r="A232" t="s">
        <v>62</v>
      </c>
      <c r="B232" s="1">
        <v>45755.01666666667</v>
      </c>
      <c r="C232" s="1">
        <v>45757.79583333333</v>
      </c>
      <c r="D232" t="s">
        <v>32</v>
      </c>
      <c r="E232" t="s">
        <v>22</v>
      </c>
      <c r="F232" t="s">
        <v>19</v>
      </c>
      <c r="G232" t="s">
        <v>14</v>
      </c>
      <c r="H232" t="s">
        <v>37</v>
      </c>
      <c r="I232">
        <v>66.7</v>
      </c>
      <c r="J232">
        <v>4</v>
      </c>
      <c r="K232" t="str">
        <f t="shared" si="6"/>
        <v>Technical Issue</v>
      </c>
      <c r="L232" t="str">
        <f t="shared" si="7"/>
        <v>Social Media</v>
      </c>
    </row>
    <row r="233" spans="1:12" x14ac:dyDescent="0.3">
      <c r="A233" t="s">
        <v>509</v>
      </c>
      <c r="B233" s="1">
        <v>45788.929166666669</v>
      </c>
      <c r="C233" s="1">
        <v>45791.708333333336</v>
      </c>
      <c r="D233" t="s">
        <v>28</v>
      </c>
      <c r="E233" t="s">
        <v>26</v>
      </c>
      <c r="F233" t="s">
        <v>13</v>
      </c>
      <c r="G233" t="s">
        <v>14</v>
      </c>
      <c r="H233" t="s">
        <v>39</v>
      </c>
      <c r="I233">
        <v>66.7</v>
      </c>
      <c r="J233">
        <v>4</v>
      </c>
      <c r="K233" t="str">
        <f t="shared" si="6"/>
        <v>Account</v>
      </c>
      <c r="L233" t="str">
        <f t="shared" si="7"/>
        <v>Phone</v>
      </c>
    </row>
    <row r="234" spans="1:12" x14ac:dyDescent="0.3">
      <c r="A234" t="s">
        <v>326</v>
      </c>
      <c r="B234" s="1">
        <v>45750.128472222219</v>
      </c>
      <c r="C234" s="1">
        <v>45752.957638888889</v>
      </c>
      <c r="D234" t="s">
        <v>32</v>
      </c>
      <c r="E234" t="s">
        <v>26</v>
      </c>
      <c r="F234" t="s">
        <v>13</v>
      </c>
      <c r="G234" t="s">
        <v>14</v>
      </c>
      <c r="H234" t="s">
        <v>37</v>
      </c>
      <c r="I234">
        <v>67.900000000000006</v>
      </c>
      <c r="J234">
        <v>4</v>
      </c>
      <c r="K234" t="str">
        <f t="shared" si="6"/>
        <v>Technical Issue</v>
      </c>
      <c r="L234" t="str">
        <f t="shared" si="7"/>
        <v>Phone</v>
      </c>
    </row>
    <row r="235" spans="1:12" x14ac:dyDescent="0.3">
      <c r="A235" t="s">
        <v>284</v>
      </c>
      <c r="B235" s="1">
        <v>45752.801388888889</v>
      </c>
      <c r="C235" s="1">
        <v>45755.676388888889</v>
      </c>
      <c r="D235" t="s">
        <v>36</v>
      </c>
      <c r="E235" t="s">
        <v>22</v>
      </c>
      <c r="F235" t="s">
        <v>23</v>
      </c>
      <c r="G235" t="s">
        <v>14</v>
      </c>
      <c r="H235" t="s">
        <v>15</v>
      </c>
      <c r="I235">
        <v>69</v>
      </c>
      <c r="J235">
        <v>4</v>
      </c>
      <c r="K235" t="str">
        <f t="shared" si="6"/>
        <v>Payment</v>
      </c>
      <c r="L235" t="str">
        <f t="shared" si="7"/>
        <v>Social Media</v>
      </c>
    </row>
    <row r="236" spans="1:12" x14ac:dyDescent="0.3">
      <c r="A236" t="s">
        <v>433</v>
      </c>
      <c r="B236" s="1">
        <v>45710.236111111109</v>
      </c>
      <c r="C236" s="1">
        <v>45713.169444444444</v>
      </c>
      <c r="D236" t="s">
        <v>17</v>
      </c>
      <c r="E236" t="s">
        <v>26</v>
      </c>
      <c r="F236" t="s">
        <v>19</v>
      </c>
      <c r="G236" t="s">
        <v>14</v>
      </c>
      <c r="H236" t="s">
        <v>41</v>
      </c>
      <c r="I236">
        <v>70.400000000000006</v>
      </c>
      <c r="J236">
        <v>4</v>
      </c>
      <c r="K236" t="str">
        <f t="shared" si="6"/>
        <v>Delivery</v>
      </c>
      <c r="L236" t="str">
        <f t="shared" si="7"/>
        <v>Phone</v>
      </c>
    </row>
    <row r="237" spans="1:12" x14ac:dyDescent="0.3">
      <c r="A237" t="s">
        <v>173</v>
      </c>
      <c r="B237" s="1">
        <v>45775.834027777775</v>
      </c>
      <c r="C237" s="1">
        <v>45778.829861111109</v>
      </c>
      <c r="D237" t="s">
        <v>28</v>
      </c>
      <c r="E237" t="s">
        <v>12</v>
      </c>
      <c r="F237" t="s">
        <v>19</v>
      </c>
      <c r="G237" t="s">
        <v>14</v>
      </c>
      <c r="H237" t="s">
        <v>41</v>
      </c>
      <c r="I237">
        <v>71.900000000000006</v>
      </c>
      <c r="J237">
        <v>4</v>
      </c>
      <c r="K237" t="str">
        <f t="shared" si="6"/>
        <v>Account</v>
      </c>
      <c r="L237" t="str">
        <f t="shared" si="7"/>
        <v>Email</v>
      </c>
    </row>
    <row r="238" spans="1:12" x14ac:dyDescent="0.3">
      <c r="A238" t="s">
        <v>489</v>
      </c>
      <c r="B238" s="1">
        <v>45674.361805555556</v>
      </c>
      <c r="C238" s="1">
        <v>45674.420138888891</v>
      </c>
      <c r="D238" t="s">
        <v>11</v>
      </c>
      <c r="E238" t="s">
        <v>18</v>
      </c>
      <c r="F238" t="s">
        <v>23</v>
      </c>
      <c r="G238" t="s">
        <v>14</v>
      </c>
      <c r="H238" t="s">
        <v>34</v>
      </c>
      <c r="I238">
        <v>1.4</v>
      </c>
      <c r="J238">
        <v>5</v>
      </c>
      <c r="K238" t="str">
        <f t="shared" si="6"/>
        <v>Refund</v>
      </c>
      <c r="L238" t="str">
        <f t="shared" si="7"/>
        <v>Chat</v>
      </c>
    </row>
    <row r="239" spans="1:12" x14ac:dyDescent="0.3">
      <c r="A239" t="s">
        <v>295</v>
      </c>
      <c r="B239" s="1">
        <v>45815.010416666664</v>
      </c>
      <c r="C239" s="1">
        <v>45815.231249999997</v>
      </c>
      <c r="D239" t="s">
        <v>17</v>
      </c>
      <c r="E239" t="s">
        <v>22</v>
      </c>
      <c r="F239" t="s">
        <v>13</v>
      </c>
      <c r="G239" t="s">
        <v>14</v>
      </c>
      <c r="H239" t="s">
        <v>20</v>
      </c>
      <c r="I239">
        <v>5.3</v>
      </c>
      <c r="J239">
        <v>5</v>
      </c>
      <c r="K239" t="str">
        <f t="shared" si="6"/>
        <v>Delivery</v>
      </c>
      <c r="L239" t="str">
        <f t="shared" si="7"/>
        <v>Social Media</v>
      </c>
    </row>
    <row r="240" spans="1:12" x14ac:dyDescent="0.3">
      <c r="A240" t="s">
        <v>286</v>
      </c>
      <c r="B240" s="1">
        <v>45792.606249999997</v>
      </c>
      <c r="C240" s="1">
        <v>45792.86041666667</v>
      </c>
      <c r="D240" t="s">
        <v>17</v>
      </c>
      <c r="E240" t="s">
        <v>12</v>
      </c>
      <c r="F240" t="s">
        <v>33</v>
      </c>
      <c r="G240" t="s">
        <v>14</v>
      </c>
      <c r="H240" t="s">
        <v>37</v>
      </c>
      <c r="I240">
        <v>6.1</v>
      </c>
      <c r="J240">
        <v>5</v>
      </c>
      <c r="K240" t="str">
        <f t="shared" si="6"/>
        <v>Delivery</v>
      </c>
      <c r="L240" t="str">
        <f t="shared" si="7"/>
        <v>Email</v>
      </c>
    </row>
    <row r="241" spans="1:12" x14ac:dyDescent="0.3">
      <c r="A241" t="s">
        <v>440</v>
      </c>
      <c r="B241" s="1">
        <v>45810.347222222219</v>
      </c>
      <c r="C241" s="1">
        <v>45810.626388888886</v>
      </c>
      <c r="D241" t="s">
        <v>28</v>
      </c>
      <c r="E241" t="s">
        <v>26</v>
      </c>
      <c r="F241" t="s">
        <v>23</v>
      </c>
      <c r="G241" t="s">
        <v>14</v>
      </c>
      <c r="H241" t="s">
        <v>41</v>
      </c>
      <c r="I241">
        <v>6.7</v>
      </c>
      <c r="J241">
        <v>5</v>
      </c>
      <c r="K241" t="str">
        <f t="shared" si="6"/>
        <v>Account</v>
      </c>
      <c r="L241" t="str">
        <f t="shared" si="7"/>
        <v>Phone</v>
      </c>
    </row>
    <row r="242" spans="1:12" x14ac:dyDescent="0.3">
      <c r="A242" t="s">
        <v>130</v>
      </c>
      <c r="B242" s="1">
        <v>45740.802777777775</v>
      </c>
      <c r="C242" s="1">
        <v>45741.094444444447</v>
      </c>
      <c r="D242" t="s">
        <v>47</v>
      </c>
      <c r="E242" t="s">
        <v>12</v>
      </c>
      <c r="F242" t="s">
        <v>23</v>
      </c>
      <c r="G242" t="s">
        <v>14</v>
      </c>
      <c r="H242" t="s">
        <v>39</v>
      </c>
      <c r="I242">
        <v>7</v>
      </c>
      <c r="J242">
        <v>5</v>
      </c>
      <c r="K242" t="str">
        <f t="shared" si="6"/>
        <v>Product Information</v>
      </c>
      <c r="L242" t="str">
        <f t="shared" si="7"/>
        <v>Email</v>
      </c>
    </row>
    <row r="243" spans="1:12" x14ac:dyDescent="0.3">
      <c r="A243" t="s">
        <v>185</v>
      </c>
      <c r="B243" s="1">
        <v>45675.199305555558</v>
      </c>
      <c r="C243" s="1">
        <v>45675.495138888888</v>
      </c>
      <c r="D243" t="s">
        <v>36</v>
      </c>
      <c r="E243" t="s">
        <v>22</v>
      </c>
      <c r="F243" t="s">
        <v>19</v>
      </c>
      <c r="G243" t="s">
        <v>14</v>
      </c>
      <c r="H243" t="s">
        <v>41</v>
      </c>
      <c r="I243">
        <v>7.1</v>
      </c>
      <c r="J243">
        <v>5</v>
      </c>
      <c r="K243" t="str">
        <f t="shared" si="6"/>
        <v>Payment</v>
      </c>
      <c r="L243" t="str">
        <f t="shared" si="7"/>
        <v>Social Media</v>
      </c>
    </row>
    <row r="244" spans="1:12" x14ac:dyDescent="0.3">
      <c r="A244" t="s">
        <v>487</v>
      </c>
      <c r="B244" s="1">
        <v>45836.960416666669</v>
      </c>
      <c r="C244" s="1">
        <v>45837.289583333331</v>
      </c>
      <c r="D244" t="s">
        <v>28</v>
      </c>
      <c r="E244" t="s">
        <v>22</v>
      </c>
      <c r="F244" t="s">
        <v>33</v>
      </c>
      <c r="G244" t="s">
        <v>14</v>
      </c>
      <c r="H244" t="s">
        <v>15</v>
      </c>
      <c r="I244">
        <v>7.9</v>
      </c>
      <c r="J244">
        <v>5</v>
      </c>
      <c r="K244" t="str">
        <f t="shared" si="6"/>
        <v>Account</v>
      </c>
      <c r="L244" t="str">
        <f t="shared" si="7"/>
        <v>Social Media</v>
      </c>
    </row>
    <row r="245" spans="1:12" x14ac:dyDescent="0.3">
      <c r="A245" t="s">
        <v>115</v>
      </c>
      <c r="B245" s="1">
        <v>45688.966666666667</v>
      </c>
      <c r="C245" s="1">
        <v>45689.341666666667</v>
      </c>
      <c r="D245" t="s">
        <v>11</v>
      </c>
      <c r="E245" t="s">
        <v>18</v>
      </c>
      <c r="F245" t="s">
        <v>33</v>
      </c>
      <c r="G245" t="s">
        <v>14</v>
      </c>
      <c r="H245" t="s">
        <v>20</v>
      </c>
      <c r="I245">
        <v>9</v>
      </c>
      <c r="J245">
        <v>5</v>
      </c>
      <c r="K245" t="str">
        <f t="shared" si="6"/>
        <v>Refund</v>
      </c>
      <c r="L245" t="str">
        <f t="shared" si="7"/>
        <v>Chat</v>
      </c>
    </row>
    <row r="246" spans="1:12" x14ac:dyDescent="0.3">
      <c r="A246" t="s">
        <v>512</v>
      </c>
      <c r="B246" s="1">
        <v>45767.357638888891</v>
      </c>
      <c r="C246" s="1">
        <v>45767.765972222223</v>
      </c>
      <c r="D246" t="s">
        <v>32</v>
      </c>
      <c r="E246" t="s">
        <v>12</v>
      </c>
      <c r="F246" t="s">
        <v>23</v>
      </c>
      <c r="G246" t="s">
        <v>14</v>
      </c>
      <c r="H246" t="s">
        <v>41</v>
      </c>
      <c r="I246">
        <v>9.8000000000000007</v>
      </c>
      <c r="J246">
        <v>5</v>
      </c>
      <c r="K246" t="str">
        <f t="shared" si="6"/>
        <v>Technical Issue</v>
      </c>
      <c r="L246" t="str">
        <f t="shared" si="7"/>
        <v>Email</v>
      </c>
    </row>
    <row r="247" spans="1:12" x14ac:dyDescent="0.3">
      <c r="A247" t="s">
        <v>121</v>
      </c>
      <c r="B247" s="1">
        <v>45783.10833333333</v>
      </c>
      <c r="C247" s="1">
        <v>45783.57916666667</v>
      </c>
      <c r="D247" t="s">
        <v>32</v>
      </c>
      <c r="E247" t="s">
        <v>12</v>
      </c>
      <c r="F247" t="s">
        <v>33</v>
      </c>
      <c r="G247" t="s">
        <v>14</v>
      </c>
      <c r="H247" t="s">
        <v>34</v>
      </c>
      <c r="I247">
        <v>11.3</v>
      </c>
      <c r="J247">
        <v>5</v>
      </c>
      <c r="K247" t="str">
        <f t="shared" si="6"/>
        <v>Technical Issue</v>
      </c>
      <c r="L247" t="str">
        <f t="shared" si="7"/>
        <v>Email</v>
      </c>
    </row>
    <row r="248" spans="1:12" x14ac:dyDescent="0.3">
      <c r="A248" t="s">
        <v>283</v>
      </c>
      <c r="B248" s="1">
        <v>45828.145138888889</v>
      </c>
      <c r="C248" s="1">
        <v>45828.640972222223</v>
      </c>
      <c r="D248" t="s">
        <v>11</v>
      </c>
      <c r="E248" t="s">
        <v>26</v>
      </c>
      <c r="F248" t="s">
        <v>13</v>
      </c>
      <c r="G248" t="s">
        <v>14</v>
      </c>
      <c r="H248" t="s">
        <v>24</v>
      </c>
      <c r="I248">
        <v>11.9</v>
      </c>
      <c r="J248">
        <v>5</v>
      </c>
      <c r="K248" t="str">
        <f t="shared" si="6"/>
        <v>Refund</v>
      </c>
      <c r="L248" t="str">
        <f t="shared" si="7"/>
        <v>Phone</v>
      </c>
    </row>
    <row r="249" spans="1:12" x14ac:dyDescent="0.3">
      <c r="A249" t="s">
        <v>339</v>
      </c>
      <c r="B249" s="1">
        <v>45685.320833333331</v>
      </c>
      <c r="C249" s="1">
        <v>45685.837500000001</v>
      </c>
      <c r="D249" t="s">
        <v>17</v>
      </c>
      <c r="E249" t="s">
        <v>22</v>
      </c>
      <c r="F249" t="s">
        <v>23</v>
      </c>
      <c r="G249" t="s">
        <v>14</v>
      </c>
      <c r="H249" t="s">
        <v>15</v>
      </c>
      <c r="I249">
        <v>12.4</v>
      </c>
      <c r="J249">
        <v>5</v>
      </c>
      <c r="K249" t="str">
        <f t="shared" si="6"/>
        <v>Delivery</v>
      </c>
      <c r="L249" t="str">
        <f t="shared" si="7"/>
        <v>Social Media</v>
      </c>
    </row>
    <row r="250" spans="1:12" x14ac:dyDescent="0.3">
      <c r="A250" t="s">
        <v>193</v>
      </c>
      <c r="B250" s="1">
        <v>45687.500694444447</v>
      </c>
      <c r="C250" s="1">
        <v>45688.03402777778</v>
      </c>
      <c r="D250" t="s">
        <v>28</v>
      </c>
      <c r="E250" t="s">
        <v>26</v>
      </c>
      <c r="F250" t="s">
        <v>13</v>
      </c>
      <c r="G250" t="s">
        <v>14</v>
      </c>
      <c r="H250" t="s">
        <v>15</v>
      </c>
      <c r="I250">
        <v>12.8</v>
      </c>
      <c r="J250">
        <v>5</v>
      </c>
      <c r="K250" t="str">
        <f t="shared" si="6"/>
        <v>Account</v>
      </c>
      <c r="L250" t="str">
        <f t="shared" si="7"/>
        <v>Phone</v>
      </c>
    </row>
    <row r="251" spans="1:12" x14ac:dyDescent="0.3">
      <c r="A251" t="s">
        <v>209</v>
      </c>
      <c r="B251" s="1">
        <v>45810.506249999999</v>
      </c>
      <c r="C251" s="1">
        <v>45811.064583333333</v>
      </c>
      <c r="D251" t="s">
        <v>36</v>
      </c>
      <c r="E251" t="s">
        <v>22</v>
      </c>
      <c r="F251" t="s">
        <v>13</v>
      </c>
      <c r="G251" t="s">
        <v>14</v>
      </c>
      <c r="H251" t="s">
        <v>15</v>
      </c>
      <c r="I251">
        <v>13.4</v>
      </c>
      <c r="J251">
        <v>5</v>
      </c>
      <c r="K251" t="str">
        <f t="shared" si="6"/>
        <v>Payment</v>
      </c>
      <c r="L251" t="str">
        <f t="shared" si="7"/>
        <v>Social Media</v>
      </c>
    </row>
    <row r="252" spans="1:12" x14ac:dyDescent="0.3">
      <c r="A252" t="s">
        <v>531</v>
      </c>
      <c r="B252" s="1">
        <v>45829.094444444447</v>
      </c>
      <c r="C252" s="1">
        <v>45829.702777777777</v>
      </c>
      <c r="D252" t="s">
        <v>28</v>
      </c>
      <c r="E252" t="s">
        <v>26</v>
      </c>
      <c r="F252" t="s">
        <v>23</v>
      </c>
      <c r="G252" t="s">
        <v>14</v>
      </c>
      <c r="H252" t="s">
        <v>37</v>
      </c>
      <c r="I252">
        <v>14.6</v>
      </c>
      <c r="J252">
        <v>5</v>
      </c>
      <c r="K252" t="str">
        <f t="shared" si="6"/>
        <v>Account</v>
      </c>
      <c r="L252" t="str">
        <f t="shared" si="7"/>
        <v>Phone</v>
      </c>
    </row>
    <row r="253" spans="1:12" x14ac:dyDescent="0.3">
      <c r="A253" t="s">
        <v>359</v>
      </c>
      <c r="B253" s="1">
        <v>45770.15902777778</v>
      </c>
      <c r="C253" s="1">
        <v>45770.804861111108</v>
      </c>
      <c r="D253" t="s">
        <v>11</v>
      </c>
      <c r="E253" t="s">
        <v>26</v>
      </c>
      <c r="F253" t="s">
        <v>19</v>
      </c>
      <c r="G253" t="s">
        <v>14</v>
      </c>
      <c r="H253" t="s">
        <v>37</v>
      </c>
      <c r="I253">
        <v>15.5</v>
      </c>
      <c r="J253">
        <v>5</v>
      </c>
      <c r="K253" t="str">
        <f t="shared" si="6"/>
        <v>Refund</v>
      </c>
      <c r="L253" t="str">
        <f t="shared" si="7"/>
        <v>Phone</v>
      </c>
    </row>
    <row r="254" spans="1:12" x14ac:dyDescent="0.3">
      <c r="A254" t="s">
        <v>340</v>
      </c>
      <c r="B254" s="1">
        <v>45685.004166666666</v>
      </c>
      <c r="C254" s="1">
        <v>45685.6875</v>
      </c>
      <c r="D254" t="s">
        <v>47</v>
      </c>
      <c r="E254" t="s">
        <v>18</v>
      </c>
      <c r="F254" t="s">
        <v>19</v>
      </c>
      <c r="G254" t="s">
        <v>14</v>
      </c>
      <c r="H254" t="s">
        <v>30</v>
      </c>
      <c r="I254">
        <v>16.399999999999999</v>
      </c>
      <c r="J254">
        <v>5</v>
      </c>
      <c r="K254" t="str">
        <f t="shared" si="6"/>
        <v>Product Information</v>
      </c>
      <c r="L254" t="str">
        <f t="shared" si="7"/>
        <v>Chat</v>
      </c>
    </row>
    <row r="255" spans="1:12" x14ac:dyDescent="0.3">
      <c r="A255" t="s">
        <v>455</v>
      </c>
      <c r="B255" s="1">
        <v>45823.234722222223</v>
      </c>
      <c r="C255" s="1">
        <v>45823.922222222223</v>
      </c>
      <c r="D255" t="s">
        <v>32</v>
      </c>
      <c r="E255" t="s">
        <v>26</v>
      </c>
      <c r="F255" t="s">
        <v>19</v>
      </c>
      <c r="G255" t="s">
        <v>14</v>
      </c>
      <c r="H255" t="s">
        <v>15</v>
      </c>
      <c r="I255">
        <v>16.5</v>
      </c>
      <c r="J255">
        <v>5</v>
      </c>
      <c r="K255" t="str">
        <f t="shared" si="6"/>
        <v>Technical Issue</v>
      </c>
      <c r="L255" t="str">
        <f t="shared" si="7"/>
        <v>Phone</v>
      </c>
    </row>
    <row r="256" spans="1:12" x14ac:dyDescent="0.3">
      <c r="A256" t="s">
        <v>16</v>
      </c>
      <c r="B256" s="1">
        <v>45666.003472222219</v>
      </c>
      <c r="C256" s="1">
        <v>45666.71597222222</v>
      </c>
      <c r="D256" t="s">
        <v>17</v>
      </c>
      <c r="E256" t="s">
        <v>18</v>
      </c>
      <c r="F256" t="s">
        <v>19</v>
      </c>
      <c r="G256" t="s">
        <v>14</v>
      </c>
      <c r="H256" t="s">
        <v>20</v>
      </c>
      <c r="I256">
        <v>17.100000000000001</v>
      </c>
      <c r="J256">
        <v>5</v>
      </c>
      <c r="K256" t="str">
        <f t="shared" si="6"/>
        <v>Delivery</v>
      </c>
      <c r="L256" t="str">
        <f t="shared" si="7"/>
        <v>Chat</v>
      </c>
    </row>
    <row r="257" spans="1:12" x14ac:dyDescent="0.3">
      <c r="A257" t="s">
        <v>163</v>
      </c>
      <c r="B257" s="1">
        <v>45735.629861111112</v>
      </c>
      <c r="C257" s="1">
        <v>45736.350694444445</v>
      </c>
      <c r="D257" t="s">
        <v>36</v>
      </c>
      <c r="E257" t="s">
        <v>22</v>
      </c>
      <c r="F257" t="s">
        <v>19</v>
      </c>
      <c r="G257" t="s">
        <v>14</v>
      </c>
      <c r="H257" t="s">
        <v>30</v>
      </c>
      <c r="I257">
        <v>17.3</v>
      </c>
      <c r="J257">
        <v>5</v>
      </c>
      <c r="K257" t="str">
        <f t="shared" si="6"/>
        <v>Payment</v>
      </c>
      <c r="L257" t="str">
        <f t="shared" si="7"/>
        <v>Social Media</v>
      </c>
    </row>
    <row r="258" spans="1:12" x14ac:dyDescent="0.3">
      <c r="A258" t="s">
        <v>219</v>
      </c>
      <c r="B258" s="1">
        <v>45718.379861111112</v>
      </c>
      <c r="C258" s="1">
        <v>45719.109027777777</v>
      </c>
      <c r="D258" t="s">
        <v>28</v>
      </c>
      <c r="E258" t="s">
        <v>12</v>
      </c>
      <c r="F258" t="s">
        <v>13</v>
      </c>
      <c r="G258" t="s">
        <v>14</v>
      </c>
      <c r="H258" t="s">
        <v>41</v>
      </c>
      <c r="I258">
        <v>17.5</v>
      </c>
      <c r="J258">
        <v>5</v>
      </c>
      <c r="K258" t="str">
        <f t="shared" ref="K258:K321" si="8">TRIM(D258)</f>
        <v>Account</v>
      </c>
      <c r="L258" t="str">
        <f t="shared" ref="L258:L321" si="9">TRIM(E258)</f>
        <v>Email</v>
      </c>
    </row>
    <row r="259" spans="1:12" x14ac:dyDescent="0.3">
      <c r="A259" t="s">
        <v>124</v>
      </c>
      <c r="B259" s="1">
        <v>45725.878472222219</v>
      </c>
      <c r="C259" s="1">
        <v>45726.615972222222</v>
      </c>
      <c r="D259" t="s">
        <v>17</v>
      </c>
      <c r="E259" t="s">
        <v>18</v>
      </c>
      <c r="F259" t="s">
        <v>13</v>
      </c>
      <c r="G259" t="s">
        <v>14</v>
      </c>
      <c r="H259" t="s">
        <v>15</v>
      </c>
      <c r="I259">
        <v>17.7</v>
      </c>
      <c r="J259">
        <v>5</v>
      </c>
      <c r="K259" t="str">
        <f t="shared" si="8"/>
        <v>Delivery</v>
      </c>
      <c r="L259" t="str">
        <f t="shared" si="9"/>
        <v>Chat</v>
      </c>
    </row>
    <row r="260" spans="1:12" x14ac:dyDescent="0.3">
      <c r="A260" t="s">
        <v>272</v>
      </c>
      <c r="B260" s="1">
        <v>45815.984027777777</v>
      </c>
      <c r="C260" s="1">
        <v>45816.725694444445</v>
      </c>
      <c r="D260" t="s">
        <v>36</v>
      </c>
      <c r="E260" t="s">
        <v>18</v>
      </c>
      <c r="F260" t="s">
        <v>13</v>
      </c>
      <c r="G260" t="s">
        <v>14</v>
      </c>
      <c r="H260" t="s">
        <v>34</v>
      </c>
      <c r="I260">
        <v>17.8</v>
      </c>
      <c r="J260">
        <v>5</v>
      </c>
      <c r="K260" t="str">
        <f t="shared" si="8"/>
        <v>Payment</v>
      </c>
      <c r="L260" t="str">
        <f t="shared" si="9"/>
        <v>Chat</v>
      </c>
    </row>
    <row r="261" spans="1:12" x14ac:dyDescent="0.3">
      <c r="A261" t="s">
        <v>376</v>
      </c>
      <c r="B261" s="1">
        <v>45721.361805555556</v>
      </c>
      <c r="C261" s="1">
        <v>45722.120138888888</v>
      </c>
      <c r="D261" t="s">
        <v>47</v>
      </c>
      <c r="E261" t="s">
        <v>26</v>
      </c>
      <c r="F261" t="s">
        <v>13</v>
      </c>
      <c r="G261" t="s">
        <v>14</v>
      </c>
      <c r="H261" t="s">
        <v>24</v>
      </c>
      <c r="I261">
        <v>18.2</v>
      </c>
      <c r="J261">
        <v>5</v>
      </c>
      <c r="K261" t="str">
        <f t="shared" si="8"/>
        <v>Product Information</v>
      </c>
      <c r="L261" t="str">
        <f t="shared" si="9"/>
        <v>Phone</v>
      </c>
    </row>
    <row r="262" spans="1:12" x14ac:dyDescent="0.3">
      <c r="A262" t="s">
        <v>268</v>
      </c>
      <c r="B262" s="1">
        <v>45780.482638888891</v>
      </c>
      <c r="C262" s="1">
        <v>45781.361805555556</v>
      </c>
      <c r="D262" t="s">
        <v>11</v>
      </c>
      <c r="E262" t="s">
        <v>22</v>
      </c>
      <c r="F262" t="s">
        <v>19</v>
      </c>
      <c r="G262" t="s">
        <v>14</v>
      </c>
      <c r="H262" t="s">
        <v>30</v>
      </c>
      <c r="I262">
        <v>21.1</v>
      </c>
      <c r="J262">
        <v>5</v>
      </c>
      <c r="K262" t="str">
        <f t="shared" si="8"/>
        <v>Refund</v>
      </c>
      <c r="L262" t="str">
        <f t="shared" si="9"/>
        <v>Social Media</v>
      </c>
    </row>
    <row r="263" spans="1:12" x14ac:dyDescent="0.3">
      <c r="A263" t="s">
        <v>117</v>
      </c>
      <c r="B263" s="1">
        <v>45733.307638888888</v>
      </c>
      <c r="C263" s="1">
        <v>45734.228472222225</v>
      </c>
      <c r="D263" t="s">
        <v>36</v>
      </c>
      <c r="E263" t="s">
        <v>26</v>
      </c>
      <c r="F263" t="s">
        <v>13</v>
      </c>
      <c r="G263" t="s">
        <v>14</v>
      </c>
      <c r="H263" t="s">
        <v>39</v>
      </c>
      <c r="I263">
        <v>22.1</v>
      </c>
      <c r="J263">
        <v>5</v>
      </c>
      <c r="K263" t="str">
        <f t="shared" si="8"/>
        <v>Payment</v>
      </c>
      <c r="L263" t="str">
        <f t="shared" si="9"/>
        <v>Phone</v>
      </c>
    </row>
    <row r="264" spans="1:12" x14ac:dyDescent="0.3">
      <c r="A264" t="s">
        <v>230</v>
      </c>
      <c r="B264" s="1">
        <v>45684.097222222219</v>
      </c>
      <c r="C264" s="1">
        <v>45685.030555555553</v>
      </c>
      <c r="D264" t="s">
        <v>11</v>
      </c>
      <c r="E264" t="s">
        <v>22</v>
      </c>
      <c r="F264" t="s">
        <v>33</v>
      </c>
      <c r="G264" t="s">
        <v>14</v>
      </c>
      <c r="H264" t="s">
        <v>41</v>
      </c>
      <c r="I264">
        <v>22.4</v>
      </c>
      <c r="J264">
        <v>5</v>
      </c>
      <c r="K264" t="str">
        <f t="shared" si="8"/>
        <v>Refund</v>
      </c>
      <c r="L264" t="str">
        <f t="shared" si="9"/>
        <v>Social Media</v>
      </c>
    </row>
    <row r="265" spans="1:12" x14ac:dyDescent="0.3">
      <c r="A265" t="s">
        <v>53</v>
      </c>
      <c r="B265" s="1">
        <v>45688.301388888889</v>
      </c>
      <c r="C265" s="1">
        <v>45689.330555555556</v>
      </c>
      <c r="D265" t="s">
        <v>47</v>
      </c>
      <c r="E265" t="s">
        <v>18</v>
      </c>
      <c r="F265" t="s">
        <v>33</v>
      </c>
      <c r="G265" t="s">
        <v>14</v>
      </c>
      <c r="H265" t="s">
        <v>39</v>
      </c>
      <c r="I265">
        <v>24.7</v>
      </c>
      <c r="J265">
        <v>5</v>
      </c>
      <c r="K265" t="str">
        <f t="shared" si="8"/>
        <v>Product Information</v>
      </c>
      <c r="L265" t="str">
        <f t="shared" si="9"/>
        <v>Chat</v>
      </c>
    </row>
    <row r="266" spans="1:12" x14ac:dyDescent="0.3">
      <c r="A266" t="s">
        <v>233</v>
      </c>
      <c r="B266" s="1">
        <v>45675.325694444444</v>
      </c>
      <c r="C266" s="1">
        <v>45676.425694444442</v>
      </c>
      <c r="D266" t="s">
        <v>17</v>
      </c>
      <c r="E266" t="s">
        <v>18</v>
      </c>
      <c r="F266" t="s">
        <v>19</v>
      </c>
      <c r="G266" t="s">
        <v>14</v>
      </c>
      <c r="H266" t="s">
        <v>30</v>
      </c>
      <c r="I266">
        <v>26.4</v>
      </c>
      <c r="J266">
        <v>5</v>
      </c>
      <c r="K266" t="str">
        <f t="shared" si="8"/>
        <v>Delivery</v>
      </c>
      <c r="L266" t="str">
        <f t="shared" si="9"/>
        <v>Chat</v>
      </c>
    </row>
    <row r="267" spans="1:12" x14ac:dyDescent="0.3">
      <c r="A267" t="s">
        <v>211</v>
      </c>
      <c r="B267" s="1">
        <v>45737.664583333331</v>
      </c>
      <c r="C267" s="1">
        <v>45738.78125</v>
      </c>
      <c r="D267" t="s">
        <v>28</v>
      </c>
      <c r="E267" t="s">
        <v>22</v>
      </c>
      <c r="F267" t="s">
        <v>23</v>
      </c>
      <c r="G267" t="s">
        <v>14</v>
      </c>
      <c r="H267" t="s">
        <v>15</v>
      </c>
      <c r="I267">
        <v>26.8</v>
      </c>
      <c r="J267">
        <v>5</v>
      </c>
      <c r="K267" t="str">
        <f t="shared" si="8"/>
        <v>Account</v>
      </c>
      <c r="L267" t="str">
        <f t="shared" si="9"/>
        <v>Social Media</v>
      </c>
    </row>
    <row r="268" spans="1:12" x14ac:dyDescent="0.3">
      <c r="A268" t="s">
        <v>44</v>
      </c>
      <c r="B268" s="1">
        <v>45832.568055555559</v>
      </c>
      <c r="C268" s="1">
        <v>45833.734722222223</v>
      </c>
      <c r="D268" t="s">
        <v>28</v>
      </c>
      <c r="E268" t="s">
        <v>26</v>
      </c>
      <c r="F268" t="s">
        <v>13</v>
      </c>
      <c r="G268" t="s">
        <v>14</v>
      </c>
      <c r="H268" t="s">
        <v>34</v>
      </c>
      <c r="I268">
        <v>28</v>
      </c>
      <c r="J268">
        <v>5</v>
      </c>
      <c r="K268" t="str">
        <f t="shared" si="8"/>
        <v>Account</v>
      </c>
      <c r="L268" t="str">
        <f t="shared" si="9"/>
        <v>Phone</v>
      </c>
    </row>
    <row r="269" spans="1:12" x14ac:dyDescent="0.3">
      <c r="A269" t="s">
        <v>431</v>
      </c>
      <c r="B269" s="1">
        <v>45734.29583333333</v>
      </c>
      <c r="C269" s="1">
        <v>45735.487500000003</v>
      </c>
      <c r="D269" t="s">
        <v>28</v>
      </c>
      <c r="E269" t="s">
        <v>18</v>
      </c>
      <c r="F269" t="s">
        <v>13</v>
      </c>
      <c r="G269" t="s">
        <v>14</v>
      </c>
      <c r="H269" t="s">
        <v>30</v>
      </c>
      <c r="I269">
        <v>28.6</v>
      </c>
      <c r="J269">
        <v>5</v>
      </c>
      <c r="K269" t="str">
        <f t="shared" si="8"/>
        <v>Account</v>
      </c>
      <c r="L269" t="str">
        <f t="shared" si="9"/>
        <v>Chat</v>
      </c>
    </row>
    <row r="270" spans="1:12" x14ac:dyDescent="0.3">
      <c r="A270" t="s">
        <v>65</v>
      </c>
      <c r="B270" s="1">
        <v>45810.113194444442</v>
      </c>
      <c r="C270" s="1">
        <v>45811.338194444441</v>
      </c>
      <c r="D270" t="s">
        <v>36</v>
      </c>
      <c r="E270" t="s">
        <v>12</v>
      </c>
      <c r="F270" t="s">
        <v>13</v>
      </c>
      <c r="G270" t="s">
        <v>14</v>
      </c>
      <c r="H270" t="s">
        <v>15</v>
      </c>
      <c r="I270">
        <v>29.4</v>
      </c>
      <c r="J270">
        <v>5</v>
      </c>
      <c r="K270" t="str">
        <f t="shared" si="8"/>
        <v>Payment</v>
      </c>
      <c r="L270" t="str">
        <f t="shared" si="9"/>
        <v>Email</v>
      </c>
    </row>
    <row r="271" spans="1:12" x14ac:dyDescent="0.3">
      <c r="A271" t="s">
        <v>466</v>
      </c>
      <c r="B271" s="1">
        <v>45696.175000000003</v>
      </c>
      <c r="C271" s="1">
        <v>45697.416666666664</v>
      </c>
      <c r="D271" t="s">
        <v>28</v>
      </c>
      <c r="E271" t="s">
        <v>18</v>
      </c>
      <c r="F271" t="s">
        <v>23</v>
      </c>
      <c r="G271" t="s">
        <v>14</v>
      </c>
      <c r="H271" t="s">
        <v>37</v>
      </c>
      <c r="I271">
        <v>29.8</v>
      </c>
      <c r="J271">
        <v>5</v>
      </c>
      <c r="K271" t="str">
        <f t="shared" si="8"/>
        <v>Account</v>
      </c>
      <c r="L271" t="str">
        <f t="shared" si="9"/>
        <v>Chat</v>
      </c>
    </row>
    <row r="272" spans="1:12" x14ac:dyDescent="0.3">
      <c r="A272" t="s">
        <v>80</v>
      </c>
      <c r="B272" s="1">
        <v>45810.556944444441</v>
      </c>
      <c r="C272" s="1">
        <v>45811.87777777778</v>
      </c>
      <c r="D272" t="s">
        <v>17</v>
      </c>
      <c r="E272" t="s">
        <v>22</v>
      </c>
      <c r="F272" t="s">
        <v>33</v>
      </c>
      <c r="G272" t="s">
        <v>14</v>
      </c>
      <c r="H272" t="s">
        <v>24</v>
      </c>
      <c r="I272">
        <v>31.7</v>
      </c>
      <c r="J272">
        <v>5</v>
      </c>
      <c r="K272" t="str">
        <f t="shared" si="8"/>
        <v>Delivery</v>
      </c>
      <c r="L272" t="str">
        <f t="shared" si="9"/>
        <v>Social Media</v>
      </c>
    </row>
    <row r="273" spans="1:12" x14ac:dyDescent="0.3">
      <c r="A273" t="s">
        <v>288</v>
      </c>
      <c r="B273" s="1">
        <v>45788.618750000001</v>
      </c>
      <c r="C273" s="1">
        <v>45789.989583333336</v>
      </c>
      <c r="D273" t="s">
        <v>28</v>
      </c>
      <c r="E273" t="s">
        <v>22</v>
      </c>
      <c r="F273" t="s">
        <v>13</v>
      </c>
      <c r="G273" t="s">
        <v>14</v>
      </c>
      <c r="H273" t="s">
        <v>41</v>
      </c>
      <c r="I273">
        <v>32.9</v>
      </c>
      <c r="J273">
        <v>5</v>
      </c>
      <c r="K273" t="str">
        <f t="shared" si="8"/>
        <v>Account</v>
      </c>
      <c r="L273" t="str">
        <f t="shared" si="9"/>
        <v>Social Media</v>
      </c>
    </row>
    <row r="274" spans="1:12" x14ac:dyDescent="0.3">
      <c r="A274" t="s">
        <v>456</v>
      </c>
      <c r="B274" s="1">
        <v>45747.594444444447</v>
      </c>
      <c r="C274" s="1">
        <v>45749.006944444445</v>
      </c>
      <c r="D274" t="s">
        <v>47</v>
      </c>
      <c r="E274" t="s">
        <v>22</v>
      </c>
      <c r="F274" t="s">
        <v>13</v>
      </c>
      <c r="G274" t="s">
        <v>14</v>
      </c>
      <c r="H274" t="s">
        <v>39</v>
      </c>
      <c r="I274">
        <v>33.9</v>
      </c>
      <c r="J274">
        <v>5</v>
      </c>
      <c r="K274" t="str">
        <f t="shared" si="8"/>
        <v>Product Information</v>
      </c>
      <c r="L274" t="str">
        <f t="shared" si="9"/>
        <v>Social Media</v>
      </c>
    </row>
    <row r="275" spans="1:12" x14ac:dyDescent="0.3">
      <c r="A275" t="s">
        <v>464</v>
      </c>
      <c r="B275" s="1">
        <v>45807.395138888889</v>
      </c>
      <c r="C275" s="1">
        <v>45808.815972222219</v>
      </c>
      <c r="D275" t="s">
        <v>47</v>
      </c>
      <c r="E275" t="s">
        <v>12</v>
      </c>
      <c r="F275" t="s">
        <v>19</v>
      </c>
      <c r="G275" t="s">
        <v>14</v>
      </c>
      <c r="H275" t="s">
        <v>20</v>
      </c>
      <c r="I275">
        <v>34.1</v>
      </c>
      <c r="J275">
        <v>5</v>
      </c>
      <c r="K275" t="str">
        <f t="shared" si="8"/>
        <v>Product Information</v>
      </c>
      <c r="L275" t="str">
        <f t="shared" si="9"/>
        <v>Email</v>
      </c>
    </row>
    <row r="276" spans="1:12" x14ac:dyDescent="0.3">
      <c r="A276" t="s">
        <v>352</v>
      </c>
      <c r="B276" s="1">
        <v>45805.518750000003</v>
      </c>
      <c r="C276" s="1">
        <v>45806.989583333336</v>
      </c>
      <c r="D276" t="s">
        <v>11</v>
      </c>
      <c r="E276" t="s">
        <v>18</v>
      </c>
      <c r="F276" t="s">
        <v>33</v>
      </c>
      <c r="G276" t="s">
        <v>14</v>
      </c>
      <c r="H276" t="s">
        <v>41</v>
      </c>
      <c r="I276">
        <v>35.299999999999997</v>
      </c>
      <c r="J276">
        <v>5</v>
      </c>
      <c r="K276" t="str">
        <f t="shared" si="8"/>
        <v>Refund</v>
      </c>
      <c r="L276" t="str">
        <f t="shared" si="9"/>
        <v>Chat</v>
      </c>
    </row>
    <row r="277" spans="1:12" x14ac:dyDescent="0.3">
      <c r="A277" t="s">
        <v>378</v>
      </c>
      <c r="B277" s="1">
        <v>45784.504861111112</v>
      </c>
      <c r="C277" s="1">
        <v>45786.013194444444</v>
      </c>
      <c r="D277" t="s">
        <v>17</v>
      </c>
      <c r="E277" t="s">
        <v>12</v>
      </c>
      <c r="F277" t="s">
        <v>23</v>
      </c>
      <c r="G277" t="s">
        <v>14</v>
      </c>
      <c r="H277" t="s">
        <v>30</v>
      </c>
      <c r="I277">
        <v>36.200000000000003</v>
      </c>
      <c r="J277">
        <v>5</v>
      </c>
      <c r="K277" t="str">
        <f t="shared" si="8"/>
        <v>Delivery</v>
      </c>
      <c r="L277" t="str">
        <f t="shared" si="9"/>
        <v>Email</v>
      </c>
    </row>
    <row r="278" spans="1:12" x14ac:dyDescent="0.3">
      <c r="A278" t="s">
        <v>438</v>
      </c>
      <c r="B278" s="1">
        <v>45678.539583333331</v>
      </c>
      <c r="C278" s="1">
        <v>45680.056250000001</v>
      </c>
      <c r="D278" t="s">
        <v>47</v>
      </c>
      <c r="E278" t="s">
        <v>18</v>
      </c>
      <c r="F278" t="s">
        <v>13</v>
      </c>
      <c r="G278" t="s">
        <v>14</v>
      </c>
      <c r="H278" t="s">
        <v>41</v>
      </c>
      <c r="I278">
        <v>36.4</v>
      </c>
      <c r="J278">
        <v>5</v>
      </c>
      <c r="K278" t="str">
        <f t="shared" si="8"/>
        <v>Product Information</v>
      </c>
      <c r="L278" t="str">
        <f t="shared" si="9"/>
        <v>Chat</v>
      </c>
    </row>
    <row r="279" spans="1:12" x14ac:dyDescent="0.3">
      <c r="A279" t="s">
        <v>492</v>
      </c>
      <c r="B279" s="1">
        <v>45719.428472222222</v>
      </c>
      <c r="C279" s="1">
        <v>45720.957638888889</v>
      </c>
      <c r="D279" t="s">
        <v>11</v>
      </c>
      <c r="E279" t="s">
        <v>22</v>
      </c>
      <c r="F279" t="s">
        <v>19</v>
      </c>
      <c r="G279" t="s">
        <v>14</v>
      </c>
      <c r="H279" t="s">
        <v>20</v>
      </c>
      <c r="I279">
        <v>36.700000000000003</v>
      </c>
      <c r="J279">
        <v>5</v>
      </c>
      <c r="K279" t="str">
        <f t="shared" si="8"/>
        <v>Refund</v>
      </c>
      <c r="L279" t="str">
        <f t="shared" si="9"/>
        <v>Social Media</v>
      </c>
    </row>
    <row r="280" spans="1:12" x14ac:dyDescent="0.3">
      <c r="A280" t="s">
        <v>208</v>
      </c>
      <c r="B280" s="1">
        <v>45677.412499999999</v>
      </c>
      <c r="C280" s="1">
        <v>45678.945833333331</v>
      </c>
      <c r="D280" t="s">
        <v>11</v>
      </c>
      <c r="E280" t="s">
        <v>12</v>
      </c>
      <c r="F280" t="s">
        <v>23</v>
      </c>
      <c r="G280" t="s">
        <v>14</v>
      </c>
      <c r="H280" t="s">
        <v>37</v>
      </c>
      <c r="I280">
        <v>36.799999999999997</v>
      </c>
      <c r="J280">
        <v>5</v>
      </c>
      <c r="K280" t="str">
        <f t="shared" si="8"/>
        <v>Refund</v>
      </c>
      <c r="L280" t="str">
        <f t="shared" si="9"/>
        <v>Email</v>
      </c>
    </row>
    <row r="281" spans="1:12" x14ac:dyDescent="0.3">
      <c r="A281" t="s">
        <v>226</v>
      </c>
      <c r="B281" s="1">
        <v>45709.055555555555</v>
      </c>
      <c r="C281" s="1">
        <v>45710.609722222223</v>
      </c>
      <c r="D281" t="s">
        <v>28</v>
      </c>
      <c r="E281" t="s">
        <v>26</v>
      </c>
      <c r="F281" t="s">
        <v>13</v>
      </c>
      <c r="G281" t="s">
        <v>14</v>
      </c>
      <c r="H281" t="s">
        <v>20</v>
      </c>
      <c r="I281">
        <v>37.299999999999997</v>
      </c>
      <c r="J281">
        <v>5</v>
      </c>
      <c r="K281" t="str">
        <f t="shared" si="8"/>
        <v>Account</v>
      </c>
      <c r="L281" t="str">
        <f t="shared" si="9"/>
        <v>Phone</v>
      </c>
    </row>
    <row r="282" spans="1:12" x14ac:dyDescent="0.3">
      <c r="A282" t="s">
        <v>81</v>
      </c>
      <c r="B282" s="1">
        <v>45669.935416666667</v>
      </c>
      <c r="C282" s="1">
        <v>45671.506249999999</v>
      </c>
      <c r="D282" t="s">
        <v>11</v>
      </c>
      <c r="E282" t="s">
        <v>18</v>
      </c>
      <c r="F282" t="s">
        <v>23</v>
      </c>
      <c r="G282" t="s">
        <v>14</v>
      </c>
      <c r="H282" t="s">
        <v>15</v>
      </c>
      <c r="I282">
        <v>37.700000000000003</v>
      </c>
      <c r="J282">
        <v>5</v>
      </c>
      <c r="K282" t="str">
        <f t="shared" si="8"/>
        <v>Refund</v>
      </c>
      <c r="L282" t="str">
        <f t="shared" si="9"/>
        <v>Chat</v>
      </c>
    </row>
    <row r="283" spans="1:12" x14ac:dyDescent="0.3">
      <c r="A283" t="s">
        <v>48</v>
      </c>
      <c r="B283" s="1">
        <v>45697.491666666669</v>
      </c>
      <c r="C283" s="1">
        <v>45699.120833333334</v>
      </c>
      <c r="D283" t="s">
        <v>17</v>
      </c>
      <c r="E283" t="s">
        <v>26</v>
      </c>
      <c r="F283" t="s">
        <v>19</v>
      </c>
      <c r="G283" t="s">
        <v>14</v>
      </c>
      <c r="H283" t="s">
        <v>39</v>
      </c>
      <c r="I283">
        <v>39.1</v>
      </c>
      <c r="J283">
        <v>5</v>
      </c>
      <c r="K283" t="str">
        <f t="shared" si="8"/>
        <v>Delivery</v>
      </c>
      <c r="L283" t="str">
        <f t="shared" si="9"/>
        <v>Phone</v>
      </c>
    </row>
    <row r="284" spans="1:12" x14ac:dyDescent="0.3">
      <c r="A284" t="s">
        <v>218</v>
      </c>
      <c r="B284" s="1">
        <v>45723.286805555559</v>
      </c>
      <c r="C284" s="1">
        <v>45724.940972222219</v>
      </c>
      <c r="D284" t="s">
        <v>47</v>
      </c>
      <c r="E284" t="s">
        <v>22</v>
      </c>
      <c r="F284" t="s">
        <v>13</v>
      </c>
      <c r="G284" t="s">
        <v>14</v>
      </c>
      <c r="H284" t="s">
        <v>24</v>
      </c>
      <c r="I284">
        <v>39.700000000000003</v>
      </c>
      <c r="J284">
        <v>5</v>
      </c>
      <c r="K284" t="str">
        <f t="shared" si="8"/>
        <v>Product Information</v>
      </c>
      <c r="L284" t="str">
        <f t="shared" si="9"/>
        <v>Social Media</v>
      </c>
    </row>
    <row r="285" spans="1:12" x14ac:dyDescent="0.3">
      <c r="A285" t="s">
        <v>522</v>
      </c>
      <c r="B285" s="1">
        <v>45676.049305555556</v>
      </c>
      <c r="C285" s="1">
        <v>45677.732638888891</v>
      </c>
      <c r="D285" t="s">
        <v>36</v>
      </c>
      <c r="E285" t="s">
        <v>26</v>
      </c>
      <c r="F285" t="s">
        <v>19</v>
      </c>
      <c r="G285" t="s">
        <v>14</v>
      </c>
      <c r="H285" t="s">
        <v>15</v>
      </c>
      <c r="I285">
        <v>40.4</v>
      </c>
      <c r="J285">
        <v>5</v>
      </c>
      <c r="K285" t="str">
        <f t="shared" si="8"/>
        <v>Payment</v>
      </c>
      <c r="L285" t="str">
        <f t="shared" si="9"/>
        <v>Phone</v>
      </c>
    </row>
    <row r="286" spans="1:12" x14ac:dyDescent="0.3">
      <c r="A286" t="s">
        <v>457</v>
      </c>
      <c r="B286" s="1">
        <v>45788.911805555559</v>
      </c>
      <c r="C286" s="1">
        <v>45790.603472222225</v>
      </c>
      <c r="D286" t="s">
        <v>47</v>
      </c>
      <c r="E286" t="s">
        <v>26</v>
      </c>
      <c r="F286" t="s">
        <v>23</v>
      </c>
      <c r="G286" t="s">
        <v>14</v>
      </c>
      <c r="H286" t="s">
        <v>34</v>
      </c>
      <c r="I286">
        <v>40.6</v>
      </c>
      <c r="J286">
        <v>5</v>
      </c>
      <c r="K286" t="str">
        <f t="shared" si="8"/>
        <v>Product Information</v>
      </c>
      <c r="L286" t="str">
        <f t="shared" si="9"/>
        <v>Phone</v>
      </c>
    </row>
    <row r="287" spans="1:12" x14ac:dyDescent="0.3">
      <c r="A287" t="s">
        <v>234</v>
      </c>
      <c r="B287" s="1">
        <v>45753.616666666669</v>
      </c>
      <c r="C287" s="1">
        <v>45755.345833333333</v>
      </c>
      <c r="D287" t="s">
        <v>32</v>
      </c>
      <c r="E287" t="s">
        <v>22</v>
      </c>
      <c r="F287" t="s">
        <v>23</v>
      </c>
      <c r="G287" t="s">
        <v>14</v>
      </c>
      <c r="H287" t="s">
        <v>24</v>
      </c>
      <c r="I287">
        <v>41.5</v>
      </c>
      <c r="J287">
        <v>5</v>
      </c>
      <c r="K287" t="str">
        <f t="shared" si="8"/>
        <v>Technical Issue</v>
      </c>
      <c r="L287" t="str">
        <f t="shared" si="9"/>
        <v>Social Media</v>
      </c>
    </row>
    <row r="288" spans="1:12" x14ac:dyDescent="0.3">
      <c r="A288" t="s">
        <v>361</v>
      </c>
      <c r="B288" s="1">
        <v>45740.929166666669</v>
      </c>
      <c r="C288" s="1">
        <v>45742.658333333333</v>
      </c>
      <c r="D288" t="s">
        <v>11</v>
      </c>
      <c r="E288" t="s">
        <v>12</v>
      </c>
      <c r="F288" t="s">
        <v>33</v>
      </c>
      <c r="G288" t="s">
        <v>14</v>
      </c>
      <c r="H288" t="s">
        <v>15</v>
      </c>
      <c r="I288">
        <v>41.5</v>
      </c>
      <c r="J288">
        <v>5</v>
      </c>
      <c r="K288" t="str">
        <f t="shared" si="8"/>
        <v>Refund</v>
      </c>
      <c r="L288" t="str">
        <f t="shared" si="9"/>
        <v>Email</v>
      </c>
    </row>
    <row r="289" spans="1:12" x14ac:dyDescent="0.3">
      <c r="A289" t="s">
        <v>63</v>
      </c>
      <c r="B289" s="1">
        <v>45706.384027777778</v>
      </c>
      <c r="C289" s="1">
        <v>45708.129861111112</v>
      </c>
      <c r="D289" t="s">
        <v>17</v>
      </c>
      <c r="E289" t="s">
        <v>26</v>
      </c>
      <c r="F289" t="s">
        <v>13</v>
      </c>
      <c r="G289" t="s">
        <v>14</v>
      </c>
      <c r="H289" t="s">
        <v>39</v>
      </c>
      <c r="I289">
        <v>41.9</v>
      </c>
      <c r="J289">
        <v>5</v>
      </c>
      <c r="K289" t="str">
        <f t="shared" si="8"/>
        <v>Delivery</v>
      </c>
      <c r="L289" t="str">
        <f t="shared" si="9"/>
        <v>Phone</v>
      </c>
    </row>
    <row r="290" spans="1:12" x14ac:dyDescent="0.3">
      <c r="A290" t="s">
        <v>260</v>
      </c>
      <c r="B290" s="1">
        <v>45758.824305555558</v>
      </c>
      <c r="C290" s="1">
        <v>45760.615972222222</v>
      </c>
      <c r="D290" t="s">
        <v>47</v>
      </c>
      <c r="E290" t="s">
        <v>22</v>
      </c>
      <c r="F290" t="s">
        <v>23</v>
      </c>
      <c r="G290" t="s">
        <v>14</v>
      </c>
      <c r="H290" t="s">
        <v>41</v>
      </c>
      <c r="I290">
        <v>43</v>
      </c>
      <c r="J290">
        <v>5</v>
      </c>
      <c r="K290" t="str">
        <f t="shared" si="8"/>
        <v>Product Information</v>
      </c>
      <c r="L290" t="str">
        <f t="shared" si="9"/>
        <v>Social Media</v>
      </c>
    </row>
    <row r="291" spans="1:12" x14ac:dyDescent="0.3">
      <c r="A291" t="s">
        <v>513</v>
      </c>
      <c r="B291" s="1">
        <v>45697.04791666667</v>
      </c>
      <c r="C291" s="1">
        <v>45698.847916666666</v>
      </c>
      <c r="D291" t="s">
        <v>11</v>
      </c>
      <c r="E291" t="s">
        <v>26</v>
      </c>
      <c r="F291" t="s">
        <v>19</v>
      </c>
      <c r="G291" t="s">
        <v>14</v>
      </c>
      <c r="H291" t="s">
        <v>30</v>
      </c>
      <c r="I291">
        <v>43.2</v>
      </c>
      <c r="J291">
        <v>5</v>
      </c>
      <c r="K291" t="str">
        <f t="shared" si="8"/>
        <v>Refund</v>
      </c>
      <c r="L291" t="str">
        <f t="shared" si="9"/>
        <v>Phone</v>
      </c>
    </row>
    <row r="292" spans="1:12" x14ac:dyDescent="0.3">
      <c r="A292" t="s">
        <v>161</v>
      </c>
      <c r="B292" s="1">
        <v>45830.3125</v>
      </c>
      <c r="C292" s="1">
        <v>45832.179166666669</v>
      </c>
      <c r="D292" t="s">
        <v>32</v>
      </c>
      <c r="E292" t="s">
        <v>18</v>
      </c>
      <c r="F292" t="s">
        <v>13</v>
      </c>
      <c r="G292" t="s">
        <v>14</v>
      </c>
      <c r="H292" t="s">
        <v>41</v>
      </c>
      <c r="I292">
        <v>44.8</v>
      </c>
      <c r="J292">
        <v>5</v>
      </c>
      <c r="K292" t="str">
        <f t="shared" si="8"/>
        <v>Technical Issue</v>
      </c>
      <c r="L292" t="str">
        <f t="shared" si="9"/>
        <v>Chat</v>
      </c>
    </row>
    <row r="293" spans="1:12" x14ac:dyDescent="0.3">
      <c r="A293" t="s">
        <v>244</v>
      </c>
      <c r="B293" s="1">
        <v>45820.720138888886</v>
      </c>
      <c r="C293" s="1">
        <v>45822.603472222225</v>
      </c>
      <c r="D293" t="s">
        <v>47</v>
      </c>
      <c r="E293" t="s">
        <v>12</v>
      </c>
      <c r="F293" t="s">
        <v>33</v>
      </c>
      <c r="G293" t="s">
        <v>14</v>
      </c>
      <c r="H293" t="s">
        <v>37</v>
      </c>
      <c r="I293">
        <v>45.2</v>
      </c>
      <c r="J293">
        <v>5</v>
      </c>
      <c r="K293" t="str">
        <f t="shared" si="8"/>
        <v>Product Information</v>
      </c>
      <c r="L293" t="str">
        <f t="shared" si="9"/>
        <v>Email</v>
      </c>
    </row>
    <row r="294" spans="1:12" x14ac:dyDescent="0.3">
      <c r="A294" t="s">
        <v>381</v>
      </c>
      <c r="B294" s="1">
        <v>45766.934027777781</v>
      </c>
      <c r="C294" s="1">
        <v>45768.863194444442</v>
      </c>
      <c r="D294" t="s">
        <v>47</v>
      </c>
      <c r="E294" t="s">
        <v>18</v>
      </c>
      <c r="F294" t="s">
        <v>23</v>
      </c>
      <c r="G294" t="s">
        <v>14</v>
      </c>
      <c r="H294" t="s">
        <v>34</v>
      </c>
      <c r="I294">
        <v>46.3</v>
      </c>
      <c r="J294">
        <v>5</v>
      </c>
      <c r="K294" t="str">
        <f t="shared" si="8"/>
        <v>Product Information</v>
      </c>
      <c r="L294" t="str">
        <f t="shared" si="9"/>
        <v>Chat</v>
      </c>
    </row>
    <row r="295" spans="1:12" x14ac:dyDescent="0.3">
      <c r="A295" t="s">
        <v>167</v>
      </c>
      <c r="B295" s="1">
        <v>45689.586805555555</v>
      </c>
      <c r="C295" s="1">
        <v>45691.520138888889</v>
      </c>
      <c r="D295" t="s">
        <v>17</v>
      </c>
      <c r="E295" t="s">
        <v>12</v>
      </c>
      <c r="F295" t="s">
        <v>23</v>
      </c>
      <c r="G295" t="s">
        <v>14</v>
      </c>
      <c r="H295" t="s">
        <v>20</v>
      </c>
      <c r="I295">
        <v>46.4</v>
      </c>
      <c r="J295">
        <v>5</v>
      </c>
      <c r="K295" t="str">
        <f t="shared" si="8"/>
        <v>Delivery</v>
      </c>
      <c r="L295" t="str">
        <f t="shared" si="9"/>
        <v>Email</v>
      </c>
    </row>
    <row r="296" spans="1:12" x14ac:dyDescent="0.3">
      <c r="A296" t="s">
        <v>436</v>
      </c>
      <c r="B296" s="1">
        <v>45836.879166666666</v>
      </c>
      <c r="C296" s="1">
        <v>45838.89166666667</v>
      </c>
      <c r="D296" t="s">
        <v>28</v>
      </c>
      <c r="E296" t="s">
        <v>18</v>
      </c>
      <c r="F296" t="s">
        <v>13</v>
      </c>
      <c r="G296" t="s">
        <v>14</v>
      </c>
      <c r="H296" t="s">
        <v>15</v>
      </c>
      <c r="I296">
        <v>48.3</v>
      </c>
      <c r="J296">
        <v>5</v>
      </c>
      <c r="K296" t="str">
        <f t="shared" si="8"/>
        <v>Account</v>
      </c>
      <c r="L296" t="str">
        <f t="shared" si="9"/>
        <v>Chat</v>
      </c>
    </row>
    <row r="297" spans="1:12" x14ac:dyDescent="0.3">
      <c r="A297" t="s">
        <v>213</v>
      </c>
      <c r="B297" s="1">
        <v>45753.749305555553</v>
      </c>
      <c r="C297" s="1">
        <v>45755.890972222223</v>
      </c>
      <c r="D297" t="s">
        <v>17</v>
      </c>
      <c r="E297" t="s">
        <v>26</v>
      </c>
      <c r="F297" t="s">
        <v>13</v>
      </c>
      <c r="G297" t="s">
        <v>14</v>
      </c>
      <c r="H297" t="s">
        <v>37</v>
      </c>
      <c r="I297">
        <v>51.4</v>
      </c>
      <c r="J297">
        <v>5</v>
      </c>
      <c r="K297" t="str">
        <f t="shared" si="8"/>
        <v>Delivery</v>
      </c>
      <c r="L297" t="str">
        <f t="shared" si="9"/>
        <v>Phone</v>
      </c>
    </row>
    <row r="298" spans="1:12" x14ac:dyDescent="0.3">
      <c r="A298" t="s">
        <v>186</v>
      </c>
      <c r="B298" s="1">
        <v>45745.224305555559</v>
      </c>
      <c r="C298" s="1">
        <v>45747.395138888889</v>
      </c>
      <c r="D298" t="s">
        <v>47</v>
      </c>
      <c r="E298" t="s">
        <v>12</v>
      </c>
      <c r="F298" t="s">
        <v>13</v>
      </c>
      <c r="G298" t="s">
        <v>14</v>
      </c>
      <c r="H298" t="s">
        <v>37</v>
      </c>
      <c r="I298">
        <v>52.1</v>
      </c>
      <c r="J298">
        <v>5</v>
      </c>
      <c r="K298" t="str">
        <f t="shared" si="8"/>
        <v>Product Information</v>
      </c>
      <c r="L298" t="str">
        <f t="shared" si="9"/>
        <v>Email</v>
      </c>
    </row>
    <row r="299" spans="1:12" x14ac:dyDescent="0.3">
      <c r="A299" t="s">
        <v>262</v>
      </c>
      <c r="B299" s="1">
        <v>45825.775000000001</v>
      </c>
      <c r="C299" s="1">
        <v>45827.945833333331</v>
      </c>
      <c r="D299" t="s">
        <v>28</v>
      </c>
      <c r="E299" t="s">
        <v>18</v>
      </c>
      <c r="F299" t="s">
        <v>19</v>
      </c>
      <c r="G299" t="s">
        <v>14</v>
      </c>
      <c r="H299" t="s">
        <v>37</v>
      </c>
      <c r="I299">
        <v>52.1</v>
      </c>
      <c r="J299">
        <v>5</v>
      </c>
      <c r="K299" t="str">
        <f t="shared" si="8"/>
        <v>Account</v>
      </c>
      <c r="L299" t="str">
        <f t="shared" si="9"/>
        <v>Chat</v>
      </c>
    </row>
    <row r="300" spans="1:12" x14ac:dyDescent="0.3">
      <c r="A300" t="s">
        <v>422</v>
      </c>
      <c r="B300" s="1">
        <v>45834.380555555559</v>
      </c>
      <c r="C300" s="1">
        <v>45836.572222222225</v>
      </c>
      <c r="D300" t="s">
        <v>28</v>
      </c>
      <c r="E300" t="s">
        <v>12</v>
      </c>
      <c r="F300" t="s">
        <v>33</v>
      </c>
      <c r="G300" t="s">
        <v>14</v>
      </c>
      <c r="H300" t="s">
        <v>30</v>
      </c>
      <c r="I300">
        <v>52.6</v>
      </c>
      <c r="J300">
        <v>5</v>
      </c>
      <c r="K300" t="str">
        <f t="shared" si="8"/>
        <v>Account</v>
      </c>
      <c r="L300" t="str">
        <f t="shared" si="9"/>
        <v>Email</v>
      </c>
    </row>
    <row r="301" spans="1:12" x14ac:dyDescent="0.3">
      <c r="A301" t="s">
        <v>394</v>
      </c>
      <c r="B301" s="1">
        <v>45809.65902777778</v>
      </c>
      <c r="C301" s="1">
        <v>45811.863194444442</v>
      </c>
      <c r="D301" t="s">
        <v>36</v>
      </c>
      <c r="E301" t="s">
        <v>18</v>
      </c>
      <c r="F301" t="s">
        <v>13</v>
      </c>
      <c r="G301" t="s">
        <v>14</v>
      </c>
      <c r="H301" t="s">
        <v>15</v>
      </c>
      <c r="I301">
        <v>52.9</v>
      </c>
      <c r="J301">
        <v>5</v>
      </c>
      <c r="K301" t="str">
        <f t="shared" si="8"/>
        <v>Payment</v>
      </c>
      <c r="L301" t="str">
        <f t="shared" si="9"/>
        <v>Chat</v>
      </c>
    </row>
    <row r="302" spans="1:12" x14ac:dyDescent="0.3">
      <c r="A302" t="s">
        <v>182</v>
      </c>
      <c r="B302" s="1">
        <v>45747.724305555559</v>
      </c>
      <c r="C302" s="1">
        <v>45750.015972222223</v>
      </c>
      <c r="D302" t="s">
        <v>36</v>
      </c>
      <c r="E302" t="s">
        <v>22</v>
      </c>
      <c r="F302" t="s">
        <v>13</v>
      </c>
      <c r="G302" t="s">
        <v>14</v>
      </c>
      <c r="H302" t="s">
        <v>24</v>
      </c>
      <c r="I302">
        <v>55</v>
      </c>
      <c r="J302">
        <v>5</v>
      </c>
      <c r="K302" t="str">
        <f t="shared" si="8"/>
        <v>Payment</v>
      </c>
      <c r="L302" t="str">
        <f t="shared" si="9"/>
        <v>Social Media</v>
      </c>
    </row>
    <row r="303" spans="1:12" x14ac:dyDescent="0.3">
      <c r="A303" t="s">
        <v>419</v>
      </c>
      <c r="B303" s="1">
        <v>45808.956944444442</v>
      </c>
      <c r="C303" s="1">
        <v>45811.286111111112</v>
      </c>
      <c r="D303" t="s">
        <v>32</v>
      </c>
      <c r="E303" t="s">
        <v>12</v>
      </c>
      <c r="F303" t="s">
        <v>23</v>
      </c>
      <c r="G303" t="s">
        <v>14</v>
      </c>
      <c r="H303" t="s">
        <v>15</v>
      </c>
      <c r="I303">
        <v>55.9</v>
      </c>
      <c r="J303">
        <v>5</v>
      </c>
      <c r="K303" t="str">
        <f t="shared" si="8"/>
        <v>Technical Issue</v>
      </c>
      <c r="L303" t="str">
        <f t="shared" si="9"/>
        <v>Email</v>
      </c>
    </row>
    <row r="304" spans="1:12" x14ac:dyDescent="0.3">
      <c r="A304" t="s">
        <v>279</v>
      </c>
      <c r="B304" s="1">
        <v>45705.032638888886</v>
      </c>
      <c r="C304" s="1">
        <v>45707.407638888886</v>
      </c>
      <c r="D304" t="s">
        <v>11</v>
      </c>
      <c r="E304" t="s">
        <v>18</v>
      </c>
      <c r="F304" t="s">
        <v>33</v>
      </c>
      <c r="G304" t="s">
        <v>14</v>
      </c>
      <c r="H304" t="s">
        <v>15</v>
      </c>
      <c r="I304">
        <v>57</v>
      </c>
      <c r="J304">
        <v>5</v>
      </c>
      <c r="K304" t="str">
        <f t="shared" si="8"/>
        <v>Refund</v>
      </c>
      <c r="L304" t="str">
        <f t="shared" si="9"/>
        <v>Chat</v>
      </c>
    </row>
    <row r="305" spans="1:12" x14ac:dyDescent="0.3">
      <c r="A305" t="s">
        <v>459</v>
      </c>
      <c r="B305" s="1">
        <v>45790.331250000003</v>
      </c>
      <c r="C305" s="1">
        <v>45792.752083333333</v>
      </c>
      <c r="D305" t="s">
        <v>28</v>
      </c>
      <c r="E305" t="s">
        <v>26</v>
      </c>
      <c r="F305" t="s">
        <v>33</v>
      </c>
      <c r="G305" t="s">
        <v>14</v>
      </c>
      <c r="H305" t="s">
        <v>39</v>
      </c>
      <c r="I305">
        <v>58.1</v>
      </c>
      <c r="J305">
        <v>5</v>
      </c>
      <c r="K305" t="str">
        <f t="shared" si="8"/>
        <v>Account</v>
      </c>
      <c r="L305" t="str">
        <f t="shared" si="9"/>
        <v>Phone</v>
      </c>
    </row>
    <row r="306" spans="1:12" x14ac:dyDescent="0.3">
      <c r="A306" t="s">
        <v>206</v>
      </c>
      <c r="B306" s="1">
        <v>45737.724999999999</v>
      </c>
      <c r="C306" s="1">
        <v>45740.166666666664</v>
      </c>
      <c r="D306" t="s">
        <v>17</v>
      </c>
      <c r="E306" t="s">
        <v>22</v>
      </c>
      <c r="F306" t="s">
        <v>23</v>
      </c>
      <c r="G306" t="s">
        <v>14</v>
      </c>
      <c r="H306" t="s">
        <v>39</v>
      </c>
      <c r="I306">
        <v>58.6</v>
      </c>
      <c r="J306">
        <v>5</v>
      </c>
      <c r="K306" t="str">
        <f t="shared" si="8"/>
        <v>Delivery</v>
      </c>
      <c r="L306" t="str">
        <f t="shared" si="9"/>
        <v>Social Media</v>
      </c>
    </row>
    <row r="307" spans="1:12" x14ac:dyDescent="0.3">
      <c r="A307" t="s">
        <v>212</v>
      </c>
      <c r="B307" s="1">
        <v>45786.68472222222</v>
      </c>
      <c r="C307" s="1">
        <v>45789.138888888891</v>
      </c>
      <c r="D307" t="s">
        <v>36</v>
      </c>
      <c r="E307" t="s">
        <v>26</v>
      </c>
      <c r="F307" t="s">
        <v>13</v>
      </c>
      <c r="G307" t="s">
        <v>14</v>
      </c>
      <c r="H307" t="s">
        <v>41</v>
      </c>
      <c r="I307">
        <v>58.9</v>
      </c>
      <c r="J307">
        <v>5</v>
      </c>
      <c r="K307" t="str">
        <f t="shared" si="8"/>
        <v>Payment</v>
      </c>
      <c r="L307" t="str">
        <f t="shared" si="9"/>
        <v>Phone</v>
      </c>
    </row>
    <row r="308" spans="1:12" x14ac:dyDescent="0.3">
      <c r="A308" t="s">
        <v>432</v>
      </c>
      <c r="B308" s="1">
        <v>45658.545138888891</v>
      </c>
      <c r="C308" s="1">
        <v>45661.020138888889</v>
      </c>
      <c r="D308" t="s">
        <v>28</v>
      </c>
      <c r="E308" t="s">
        <v>18</v>
      </c>
      <c r="F308" t="s">
        <v>13</v>
      </c>
      <c r="G308" t="s">
        <v>14</v>
      </c>
      <c r="H308" t="s">
        <v>39</v>
      </c>
      <c r="I308">
        <v>59.4</v>
      </c>
      <c r="J308">
        <v>5</v>
      </c>
      <c r="K308" t="str">
        <f t="shared" si="8"/>
        <v>Account</v>
      </c>
      <c r="L308" t="str">
        <f t="shared" si="9"/>
        <v>Chat</v>
      </c>
    </row>
    <row r="309" spans="1:12" x14ac:dyDescent="0.3">
      <c r="A309" t="s">
        <v>168</v>
      </c>
      <c r="B309" s="1">
        <v>45690.759027777778</v>
      </c>
      <c r="C309" s="1">
        <v>45693.250694444447</v>
      </c>
      <c r="D309" t="s">
        <v>36</v>
      </c>
      <c r="E309" t="s">
        <v>18</v>
      </c>
      <c r="F309" t="s">
        <v>33</v>
      </c>
      <c r="G309" t="s">
        <v>14</v>
      </c>
      <c r="H309" t="s">
        <v>30</v>
      </c>
      <c r="I309">
        <v>59.8</v>
      </c>
      <c r="J309">
        <v>5</v>
      </c>
      <c r="K309" t="str">
        <f t="shared" si="8"/>
        <v>Payment</v>
      </c>
      <c r="L309" t="str">
        <f t="shared" si="9"/>
        <v>Chat</v>
      </c>
    </row>
    <row r="310" spans="1:12" x14ac:dyDescent="0.3">
      <c r="A310" t="s">
        <v>242</v>
      </c>
      <c r="B310" s="1">
        <v>45691.563888888886</v>
      </c>
      <c r="C310" s="1">
        <v>45694.05972222222</v>
      </c>
      <c r="D310" t="s">
        <v>36</v>
      </c>
      <c r="E310" t="s">
        <v>26</v>
      </c>
      <c r="F310" t="s">
        <v>33</v>
      </c>
      <c r="G310" t="s">
        <v>14</v>
      </c>
      <c r="H310" t="s">
        <v>37</v>
      </c>
      <c r="I310">
        <v>59.9</v>
      </c>
      <c r="J310">
        <v>5</v>
      </c>
      <c r="K310" t="str">
        <f t="shared" si="8"/>
        <v>Payment</v>
      </c>
      <c r="L310" t="str">
        <f t="shared" si="9"/>
        <v>Phone</v>
      </c>
    </row>
    <row r="311" spans="1:12" x14ac:dyDescent="0.3">
      <c r="A311" t="s">
        <v>353</v>
      </c>
      <c r="B311" s="1">
        <v>45731.174305555556</v>
      </c>
      <c r="C311" s="1">
        <v>45733.703472222223</v>
      </c>
      <c r="D311" t="s">
        <v>17</v>
      </c>
      <c r="E311" t="s">
        <v>26</v>
      </c>
      <c r="F311" t="s">
        <v>13</v>
      </c>
      <c r="G311" t="s">
        <v>14</v>
      </c>
      <c r="H311" t="s">
        <v>41</v>
      </c>
      <c r="I311">
        <v>60.7</v>
      </c>
      <c r="J311">
        <v>5</v>
      </c>
      <c r="K311" t="str">
        <f t="shared" si="8"/>
        <v>Delivery</v>
      </c>
      <c r="L311" t="str">
        <f t="shared" si="9"/>
        <v>Phone</v>
      </c>
    </row>
    <row r="312" spans="1:12" x14ac:dyDescent="0.3">
      <c r="A312" t="s">
        <v>105</v>
      </c>
      <c r="B312" s="1">
        <v>45684.950694444444</v>
      </c>
      <c r="C312" s="1">
        <v>45687.504861111112</v>
      </c>
      <c r="D312" t="s">
        <v>17</v>
      </c>
      <c r="E312" t="s">
        <v>12</v>
      </c>
      <c r="F312" t="s">
        <v>23</v>
      </c>
      <c r="G312" t="s">
        <v>14</v>
      </c>
      <c r="H312" t="s">
        <v>15</v>
      </c>
      <c r="I312">
        <v>61.3</v>
      </c>
      <c r="J312">
        <v>5</v>
      </c>
      <c r="K312" t="str">
        <f t="shared" si="8"/>
        <v>Delivery</v>
      </c>
      <c r="L312" t="str">
        <f t="shared" si="9"/>
        <v>Email</v>
      </c>
    </row>
    <row r="313" spans="1:12" x14ac:dyDescent="0.3">
      <c r="A313" t="s">
        <v>192</v>
      </c>
      <c r="B313" s="1">
        <v>45662.623611111114</v>
      </c>
      <c r="C313" s="1">
        <v>45665.211111111108</v>
      </c>
      <c r="D313" t="s">
        <v>28</v>
      </c>
      <c r="E313" t="s">
        <v>22</v>
      </c>
      <c r="F313" t="s">
        <v>19</v>
      </c>
      <c r="G313" t="s">
        <v>14</v>
      </c>
      <c r="H313" t="s">
        <v>24</v>
      </c>
      <c r="I313">
        <v>62.1</v>
      </c>
      <c r="J313">
        <v>5</v>
      </c>
      <c r="K313" t="str">
        <f t="shared" si="8"/>
        <v>Account</v>
      </c>
      <c r="L313" t="str">
        <f t="shared" si="9"/>
        <v>Social Media</v>
      </c>
    </row>
    <row r="314" spans="1:12" x14ac:dyDescent="0.3">
      <c r="A314" t="s">
        <v>481</v>
      </c>
      <c r="B314" s="1">
        <v>45658.029166666667</v>
      </c>
      <c r="C314" s="1">
        <v>45660.75</v>
      </c>
      <c r="D314" t="s">
        <v>11</v>
      </c>
      <c r="E314" t="s">
        <v>22</v>
      </c>
      <c r="F314" t="s">
        <v>33</v>
      </c>
      <c r="G314" t="s">
        <v>14</v>
      </c>
      <c r="H314" t="s">
        <v>34</v>
      </c>
      <c r="I314">
        <v>65.3</v>
      </c>
      <c r="J314">
        <v>5</v>
      </c>
      <c r="K314" t="str">
        <f t="shared" si="8"/>
        <v>Refund</v>
      </c>
      <c r="L314" t="str">
        <f t="shared" si="9"/>
        <v>Social Media</v>
      </c>
    </row>
    <row r="315" spans="1:12" x14ac:dyDescent="0.3">
      <c r="A315" t="s">
        <v>350</v>
      </c>
      <c r="B315" s="1">
        <v>45775.799305555556</v>
      </c>
      <c r="C315" s="1">
        <v>45778.557638888888</v>
      </c>
      <c r="D315" t="s">
        <v>17</v>
      </c>
      <c r="E315" t="s">
        <v>18</v>
      </c>
      <c r="F315" t="s">
        <v>23</v>
      </c>
      <c r="G315" t="s">
        <v>14</v>
      </c>
      <c r="H315" t="s">
        <v>34</v>
      </c>
      <c r="I315">
        <v>66.2</v>
      </c>
      <c r="J315">
        <v>5</v>
      </c>
      <c r="K315" t="str">
        <f t="shared" si="8"/>
        <v>Delivery</v>
      </c>
      <c r="L315" t="str">
        <f t="shared" si="9"/>
        <v>Chat</v>
      </c>
    </row>
    <row r="316" spans="1:12" x14ac:dyDescent="0.3">
      <c r="A316" t="s">
        <v>374</v>
      </c>
      <c r="B316" s="1">
        <v>45712.865972222222</v>
      </c>
      <c r="C316" s="1">
        <v>45715.628472222219</v>
      </c>
      <c r="D316" t="s">
        <v>11</v>
      </c>
      <c r="E316" t="s">
        <v>22</v>
      </c>
      <c r="F316" t="s">
        <v>33</v>
      </c>
      <c r="G316" t="s">
        <v>14</v>
      </c>
      <c r="H316" t="s">
        <v>34</v>
      </c>
      <c r="I316">
        <v>66.3</v>
      </c>
      <c r="J316">
        <v>5</v>
      </c>
      <c r="K316" t="str">
        <f t="shared" si="8"/>
        <v>Refund</v>
      </c>
      <c r="L316" t="str">
        <f t="shared" si="9"/>
        <v>Social Media</v>
      </c>
    </row>
    <row r="317" spans="1:12" x14ac:dyDescent="0.3">
      <c r="A317" t="s">
        <v>243</v>
      </c>
      <c r="B317" s="1">
        <v>45740.926388888889</v>
      </c>
      <c r="C317" s="1">
        <v>45743.768055555556</v>
      </c>
      <c r="D317" t="s">
        <v>32</v>
      </c>
      <c r="E317" t="s">
        <v>12</v>
      </c>
      <c r="F317" t="s">
        <v>23</v>
      </c>
      <c r="G317" t="s">
        <v>14</v>
      </c>
      <c r="H317" t="s">
        <v>20</v>
      </c>
      <c r="I317">
        <v>68.2</v>
      </c>
      <c r="J317">
        <v>5</v>
      </c>
      <c r="K317" t="str">
        <f t="shared" si="8"/>
        <v>Technical Issue</v>
      </c>
      <c r="L317" t="str">
        <f t="shared" si="9"/>
        <v>Email</v>
      </c>
    </row>
    <row r="318" spans="1:12" x14ac:dyDescent="0.3">
      <c r="A318" t="s">
        <v>210</v>
      </c>
      <c r="B318" s="1">
        <v>45751.906944444447</v>
      </c>
      <c r="C318" s="1">
        <v>45754.81527777778</v>
      </c>
      <c r="D318" t="s">
        <v>32</v>
      </c>
      <c r="E318" t="s">
        <v>22</v>
      </c>
      <c r="F318" t="s">
        <v>33</v>
      </c>
      <c r="G318" t="s">
        <v>14</v>
      </c>
      <c r="H318" t="s">
        <v>20</v>
      </c>
      <c r="I318">
        <v>69.8</v>
      </c>
      <c r="J318">
        <v>5</v>
      </c>
      <c r="K318" t="str">
        <f t="shared" si="8"/>
        <v>Technical Issue</v>
      </c>
      <c r="L318" t="str">
        <f t="shared" si="9"/>
        <v>Social Media</v>
      </c>
    </row>
    <row r="319" spans="1:12" x14ac:dyDescent="0.3">
      <c r="A319" t="s">
        <v>261</v>
      </c>
      <c r="B319" s="1">
        <v>45662.472916666666</v>
      </c>
      <c r="C319" s="1">
        <v>45665.414583333331</v>
      </c>
      <c r="D319" t="s">
        <v>32</v>
      </c>
      <c r="E319" t="s">
        <v>12</v>
      </c>
      <c r="F319" t="s">
        <v>19</v>
      </c>
      <c r="G319" t="s">
        <v>14</v>
      </c>
      <c r="H319" t="s">
        <v>24</v>
      </c>
      <c r="I319">
        <v>70.599999999999994</v>
      </c>
      <c r="J319">
        <v>5</v>
      </c>
      <c r="K319" t="str">
        <f t="shared" si="8"/>
        <v>Technical Issue</v>
      </c>
      <c r="L319" t="str">
        <f t="shared" si="9"/>
        <v>Email</v>
      </c>
    </row>
    <row r="320" spans="1:12" x14ac:dyDescent="0.3">
      <c r="A320" t="s">
        <v>87</v>
      </c>
      <c r="B320" s="1">
        <v>45695.001388888886</v>
      </c>
      <c r="C320" s="1">
        <v>45697.955555555556</v>
      </c>
      <c r="D320" t="s">
        <v>17</v>
      </c>
      <c r="E320" t="s">
        <v>22</v>
      </c>
      <c r="F320" t="s">
        <v>19</v>
      </c>
      <c r="G320" t="s">
        <v>14</v>
      </c>
      <c r="H320" t="s">
        <v>20</v>
      </c>
      <c r="I320">
        <v>70.900000000000006</v>
      </c>
      <c r="J320">
        <v>5</v>
      </c>
      <c r="K320" t="str">
        <f t="shared" si="8"/>
        <v>Delivery</v>
      </c>
      <c r="L320" t="str">
        <f t="shared" si="9"/>
        <v>Social Media</v>
      </c>
    </row>
    <row r="321" spans="1:12" x14ac:dyDescent="0.3">
      <c r="A321" t="s">
        <v>282</v>
      </c>
      <c r="B321" s="1">
        <v>45735.781944444447</v>
      </c>
      <c r="C321" s="1">
        <v>45735.836111111108</v>
      </c>
      <c r="D321" t="s">
        <v>11</v>
      </c>
      <c r="E321" t="s">
        <v>26</v>
      </c>
      <c r="F321" t="s">
        <v>33</v>
      </c>
      <c r="G321" t="s">
        <v>29</v>
      </c>
      <c r="H321" t="s">
        <v>39</v>
      </c>
      <c r="I321">
        <v>1.3</v>
      </c>
      <c r="K321" t="str">
        <f t="shared" si="8"/>
        <v>Refund</v>
      </c>
      <c r="L321" t="str">
        <f t="shared" si="9"/>
        <v>Phone</v>
      </c>
    </row>
    <row r="322" spans="1:12" x14ac:dyDescent="0.3">
      <c r="A322" t="s">
        <v>454</v>
      </c>
      <c r="B322" s="1">
        <v>45726.851388888892</v>
      </c>
      <c r="C322" s="1">
        <v>45726.930555555555</v>
      </c>
      <c r="D322" t="s">
        <v>11</v>
      </c>
      <c r="E322" t="s">
        <v>12</v>
      </c>
      <c r="F322" t="s">
        <v>19</v>
      </c>
      <c r="G322" t="s">
        <v>29</v>
      </c>
      <c r="H322" t="s">
        <v>37</v>
      </c>
      <c r="I322">
        <v>1.9</v>
      </c>
      <c r="K322" t="str">
        <f t="shared" ref="K322:K385" si="10">TRIM(D322)</f>
        <v>Refund</v>
      </c>
      <c r="L322" t="str">
        <f t="shared" ref="L322:L385" si="11">TRIM(E322)</f>
        <v>Email</v>
      </c>
    </row>
    <row r="323" spans="1:12" x14ac:dyDescent="0.3">
      <c r="A323" t="s">
        <v>303</v>
      </c>
      <c r="B323" s="1">
        <v>45754.901388888888</v>
      </c>
      <c r="C323" s="1">
        <v>45755.038888888892</v>
      </c>
      <c r="D323" t="s">
        <v>17</v>
      </c>
      <c r="E323" t="s">
        <v>18</v>
      </c>
      <c r="F323" t="s">
        <v>33</v>
      </c>
      <c r="G323" t="s">
        <v>29</v>
      </c>
      <c r="H323" t="s">
        <v>41</v>
      </c>
      <c r="I323">
        <v>3.3</v>
      </c>
      <c r="K323" t="str">
        <f t="shared" si="10"/>
        <v>Delivery</v>
      </c>
      <c r="L323" t="str">
        <f t="shared" si="11"/>
        <v>Chat</v>
      </c>
    </row>
    <row r="324" spans="1:12" x14ac:dyDescent="0.3">
      <c r="A324" t="s">
        <v>258</v>
      </c>
      <c r="B324" s="1">
        <v>45812.684027777781</v>
      </c>
      <c r="C324" s="1">
        <v>45812.825694444444</v>
      </c>
      <c r="D324" t="s">
        <v>17</v>
      </c>
      <c r="E324" t="s">
        <v>18</v>
      </c>
      <c r="F324" t="s">
        <v>23</v>
      </c>
      <c r="G324" t="s">
        <v>29</v>
      </c>
      <c r="H324" t="s">
        <v>41</v>
      </c>
      <c r="I324">
        <v>3.4</v>
      </c>
      <c r="K324" t="str">
        <f t="shared" si="10"/>
        <v>Delivery</v>
      </c>
      <c r="L324" t="str">
        <f t="shared" si="11"/>
        <v>Chat</v>
      </c>
    </row>
    <row r="325" spans="1:12" x14ac:dyDescent="0.3">
      <c r="A325" t="s">
        <v>402</v>
      </c>
      <c r="B325" s="1">
        <v>45833.411111111112</v>
      </c>
      <c r="C325" s="1">
        <v>45833.552777777775</v>
      </c>
      <c r="D325" t="s">
        <v>32</v>
      </c>
      <c r="E325" t="s">
        <v>18</v>
      </c>
      <c r="F325" t="s">
        <v>13</v>
      </c>
      <c r="G325" t="s">
        <v>29</v>
      </c>
      <c r="H325" t="s">
        <v>20</v>
      </c>
      <c r="I325">
        <v>3.4</v>
      </c>
      <c r="K325" t="str">
        <f t="shared" si="10"/>
        <v>Technical Issue</v>
      </c>
      <c r="L325" t="str">
        <f t="shared" si="11"/>
        <v>Chat</v>
      </c>
    </row>
    <row r="326" spans="1:12" x14ac:dyDescent="0.3">
      <c r="A326" t="s">
        <v>524</v>
      </c>
      <c r="B326" s="1">
        <v>45794.02847222222</v>
      </c>
      <c r="C326" s="1">
        <v>45794.236805555556</v>
      </c>
      <c r="D326" t="s">
        <v>11</v>
      </c>
      <c r="E326" t="s">
        <v>12</v>
      </c>
      <c r="F326" t="s">
        <v>13</v>
      </c>
      <c r="G326" t="s">
        <v>29</v>
      </c>
      <c r="H326" t="s">
        <v>30</v>
      </c>
      <c r="I326">
        <v>5</v>
      </c>
      <c r="K326" t="str">
        <f t="shared" si="10"/>
        <v>Refund</v>
      </c>
      <c r="L326" t="str">
        <f t="shared" si="11"/>
        <v>Email</v>
      </c>
    </row>
    <row r="327" spans="1:12" x14ac:dyDescent="0.3">
      <c r="A327" t="s">
        <v>386</v>
      </c>
      <c r="B327" s="1">
        <v>45743.553472222222</v>
      </c>
      <c r="C327" s="1">
        <v>45743.765972222223</v>
      </c>
      <c r="D327" t="s">
        <v>11</v>
      </c>
      <c r="E327" t="s">
        <v>12</v>
      </c>
      <c r="F327" t="s">
        <v>19</v>
      </c>
      <c r="G327" t="s">
        <v>29</v>
      </c>
      <c r="H327" t="s">
        <v>41</v>
      </c>
      <c r="I327">
        <v>5.0999999999999996</v>
      </c>
      <c r="K327" t="str">
        <f t="shared" si="10"/>
        <v>Refund</v>
      </c>
      <c r="L327" t="str">
        <f t="shared" si="11"/>
        <v>Email</v>
      </c>
    </row>
    <row r="328" spans="1:12" x14ac:dyDescent="0.3">
      <c r="A328" t="s">
        <v>93</v>
      </c>
      <c r="B328" s="1">
        <v>45743.456250000003</v>
      </c>
      <c r="C328" s="1">
        <v>45743.71875</v>
      </c>
      <c r="D328" t="s">
        <v>36</v>
      </c>
      <c r="E328" t="s">
        <v>18</v>
      </c>
      <c r="F328" t="s">
        <v>19</v>
      </c>
      <c r="G328" t="s">
        <v>29</v>
      </c>
      <c r="H328" t="s">
        <v>37</v>
      </c>
      <c r="I328">
        <v>6.3</v>
      </c>
      <c r="K328" t="str">
        <f t="shared" si="10"/>
        <v>Payment</v>
      </c>
      <c r="L328" t="str">
        <f t="shared" si="11"/>
        <v>Chat</v>
      </c>
    </row>
    <row r="329" spans="1:12" x14ac:dyDescent="0.3">
      <c r="A329" t="s">
        <v>60</v>
      </c>
      <c r="B329" s="1">
        <v>45677.618750000001</v>
      </c>
      <c r="C329" s="1">
        <v>45677.931250000001</v>
      </c>
      <c r="D329" t="s">
        <v>11</v>
      </c>
      <c r="E329" t="s">
        <v>12</v>
      </c>
      <c r="F329" t="s">
        <v>13</v>
      </c>
      <c r="G329" t="s">
        <v>29</v>
      </c>
      <c r="H329" t="s">
        <v>20</v>
      </c>
      <c r="I329">
        <v>7.5</v>
      </c>
      <c r="K329" t="str">
        <f t="shared" si="10"/>
        <v>Refund</v>
      </c>
      <c r="L329" t="str">
        <f t="shared" si="11"/>
        <v>Email</v>
      </c>
    </row>
    <row r="330" spans="1:12" x14ac:dyDescent="0.3">
      <c r="A330" t="s">
        <v>423</v>
      </c>
      <c r="B330" s="1">
        <v>45814.319444444445</v>
      </c>
      <c r="C330" s="1">
        <v>45814.648611111108</v>
      </c>
      <c r="D330" t="s">
        <v>28</v>
      </c>
      <c r="E330" t="s">
        <v>18</v>
      </c>
      <c r="F330" t="s">
        <v>23</v>
      </c>
      <c r="G330" t="s">
        <v>29</v>
      </c>
      <c r="H330" t="s">
        <v>34</v>
      </c>
      <c r="I330">
        <v>7.9</v>
      </c>
      <c r="K330" t="str">
        <f t="shared" si="10"/>
        <v>Account</v>
      </c>
      <c r="L330" t="str">
        <f t="shared" si="11"/>
        <v>Chat</v>
      </c>
    </row>
    <row r="331" spans="1:12" x14ac:dyDescent="0.3">
      <c r="A331" t="s">
        <v>277</v>
      </c>
      <c r="B331" s="1">
        <v>45660.4</v>
      </c>
      <c r="C331" s="1">
        <v>45660.741666666669</v>
      </c>
      <c r="D331" t="s">
        <v>32</v>
      </c>
      <c r="E331" t="s">
        <v>26</v>
      </c>
      <c r="F331" t="s">
        <v>19</v>
      </c>
      <c r="G331" t="s">
        <v>29</v>
      </c>
      <c r="H331" t="s">
        <v>41</v>
      </c>
      <c r="I331">
        <v>8.1999999999999993</v>
      </c>
      <c r="K331" t="str">
        <f t="shared" si="10"/>
        <v>Technical Issue</v>
      </c>
      <c r="L331" t="str">
        <f t="shared" si="11"/>
        <v>Phone</v>
      </c>
    </row>
    <row r="332" spans="1:12" x14ac:dyDescent="0.3">
      <c r="A332" t="s">
        <v>172</v>
      </c>
      <c r="B332" s="1">
        <v>45772.480555555558</v>
      </c>
      <c r="C332" s="1">
        <v>45772.826388888891</v>
      </c>
      <c r="D332" t="s">
        <v>47</v>
      </c>
      <c r="E332" t="s">
        <v>18</v>
      </c>
      <c r="F332" t="s">
        <v>13</v>
      </c>
      <c r="G332" t="s">
        <v>29</v>
      </c>
      <c r="H332" t="s">
        <v>24</v>
      </c>
      <c r="I332">
        <v>8.3000000000000007</v>
      </c>
      <c r="K332" t="str">
        <f t="shared" si="10"/>
        <v>Product Information</v>
      </c>
      <c r="L332" t="str">
        <f t="shared" si="11"/>
        <v>Chat</v>
      </c>
    </row>
    <row r="333" spans="1:12" x14ac:dyDescent="0.3">
      <c r="A333" t="s">
        <v>500</v>
      </c>
      <c r="B333" s="1">
        <v>45669.870138888888</v>
      </c>
      <c r="C333" s="1">
        <v>45670.257638888892</v>
      </c>
      <c r="D333" t="s">
        <v>28</v>
      </c>
      <c r="E333" t="s">
        <v>22</v>
      </c>
      <c r="F333" t="s">
        <v>33</v>
      </c>
      <c r="G333" t="s">
        <v>29</v>
      </c>
      <c r="H333" t="s">
        <v>41</v>
      </c>
      <c r="I333">
        <v>9.3000000000000007</v>
      </c>
      <c r="K333" t="str">
        <f t="shared" si="10"/>
        <v>Account</v>
      </c>
      <c r="L333" t="str">
        <f t="shared" si="11"/>
        <v>Social Media</v>
      </c>
    </row>
    <row r="334" spans="1:12" x14ac:dyDescent="0.3">
      <c r="A334" t="s">
        <v>27</v>
      </c>
      <c r="B334" s="1">
        <v>45669.978472222225</v>
      </c>
      <c r="C334" s="1">
        <v>45670.370138888888</v>
      </c>
      <c r="D334" t="s">
        <v>28</v>
      </c>
      <c r="E334" t="s">
        <v>12</v>
      </c>
      <c r="F334" t="s">
        <v>23</v>
      </c>
      <c r="G334" t="s">
        <v>29</v>
      </c>
      <c r="H334" t="s">
        <v>30</v>
      </c>
      <c r="I334">
        <v>9.4</v>
      </c>
      <c r="K334" t="str">
        <f t="shared" si="10"/>
        <v>Account</v>
      </c>
      <c r="L334" t="str">
        <f t="shared" si="11"/>
        <v>Email</v>
      </c>
    </row>
    <row r="335" spans="1:12" x14ac:dyDescent="0.3">
      <c r="A335" t="s">
        <v>55</v>
      </c>
      <c r="B335" s="1">
        <v>45829.634027777778</v>
      </c>
      <c r="C335" s="1">
        <v>45830.050694444442</v>
      </c>
      <c r="D335" t="s">
        <v>47</v>
      </c>
      <c r="E335" t="s">
        <v>22</v>
      </c>
      <c r="F335" t="s">
        <v>33</v>
      </c>
      <c r="G335" t="s">
        <v>29</v>
      </c>
      <c r="H335" t="s">
        <v>41</v>
      </c>
      <c r="I335">
        <v>10</v>
      </c>
      <c r="K335" t="str">
        <f t="shared" si="10"/>
        <v>Product Information</v>
      </c>
      <c r="L335" t="str">
        <f t="shared" si="11"/>
        <v>Social Media</v>
      </c>
    </row>
    <row r="336" spans="1:12" x14ac:dyDescent="0.3">
      <c r="A336" t="s">
        <v>292</v>
      </c>
      <c r="B336" s="1">
        <v>45754.113194444442</v>
      </c>
      <c r="C336" s="1">
        <v>45754.529861111114</v>
      </c>
      <c r="D336" t="s">
        <v>32</v>
      </c>
      <c r="E336" t="s">
        <v>12</v>
      </c>
      <c r="F336" t="s">
        <v>33</v>
      </c>
      <c r="G336" t="s">
        <v>29</v>
      </c>
      <c r="H336" t="s">
        <v>15</v>
      </c>
      <c r="I336">
        <v>10</v>
      </c>
      <c r="K336" t="str">
        <f t="shared" si="10"/>
        <v>Technical Issue</v>
      </c>
      <c r="L336" t="str">
        <f t="shared" si="11"/>
        <v>Email</v>
      </c>
    </row>
    <row r="337" spans="1:12" x14ac:dyDescent="0.3">
      <c r="A337" t="s">
        <v>333</v>
      </c>
      <c r="B337" s="1">
        <v>45743.577777777777</v>
      </c>
      <c r="C337" s="1">
        <v>45744.00277777778</v>
      </c>
      <c r="D337" t="s">
        <v>32</v>
      </c>
      <c r="E337" t="s">
        <v>18</v>
      </c>
      <c r="F337" t="s">
        <v>19</v>
      </c>
      <c r="G337" t="s">
        <v>29</v>
      </c>
      <c r="H337" t="s">
        <v>30</v>
      </c>
      <c r="I337">
        <v>10.199999999999999</v>
      </c>
      <c r="K337" t="str">
        <f t="shared" si="10"/>
        <v>Technical Issue</v>
      </c>
      <c r="L337" t="str">
        <f t="shared" si="11"/>
        <v>Chat</v>
      </c>
    </row>
    <row r="338" spans="1:12" x14ac:dyDescent="0.3">
      <c r="A338" t="s">
        <v>529</v>
      </c>
      <c r="B338" s="1">
        <v>45746.268055555556</v>
      </c>
      <c r="C338" s="1">
        <v>45746.713888888888</v>
      </c>
      <c r="D338" t="s">
        <v>36</v>
      </c>
      <c r="E338" t="s">
        <v>18</v>
      </c>
      <c r="F338" t="s">
        <v>23</v>
      </c>
      <c r="G338" t="s">
        <v>29</v>
      </c>
      <c r="H338" t="s">
        <v>20</v>
      </c>
      <c r="I338">
        <v>10.7</v>
      </c>
      <c r="K338" t="str">
        <f t="shared" si="10"/>
        <v>Payment</v>
      </c>
      <c r="L338" t="str">
        <f t="shared" si="11"/>
        <v>Chat</v>
      </c>
    </row>
    <row r="339" spans="1:12" x14ac:dyDescent="0.3">
      <c r="A339" t="s">
        <v>214</v>
      </c>
      <c r="B339" s="1">
        <v>45727.622916666667</v>
      </c>
      <c r="C339" s="1">
        <v>45728.081250000003</v>
      </c>
      <c r="D339" t="s">
        <v>28</v>
      </c>
      <c r="E339" t="s">
        <v>12</v>
      </c>
      <c r="F339" t="s">
        <v>33</v>
      </c>
      <c r="G339" t="s">
        <v>29</v>
      </c>
      <c r="H339" t="s">
        <v>41</v>
      </c>
      <c r="I339">
        <v>11</v>
      </c>
      <c r="K339" t="str">
        <f t="shared" si="10"/>
        <v>Account</v>
      </c>
      <c r="L339" t="str">
        <f t="shared" si="11"/>
        <v>Email</v>
      </c>
    </row>
    <row r="340" spans="1:12" x14ac:dyDescent="0.3">
      <c r="A340" t="s">
        <v>174</v>
      </c>
      <c r="B340" s="1">
        <v>45676.097222222219</v>
      </c>
      <c r="C340" s="1">
        <v>45676.55972222222</v>
      </c>
      <c r="D340" t="s">
        <v>36</v>
      </c>
      <c r="E340" t="s">
        <v>26</v>
      </c>
      <c r="F340" t="s">
        <v>23</v>
      </c>
      <c r="G340" t="s">
        <v>29</v>
      </c>
      <c r="H340" t="s">
        <v>15</v>
      </c>
      <c r="I340">
        <v>11.1</v>
      </c>
      <c r="K340" t="str">
        <f t="shared" si="10"/>
        <v>Payment</v>
      </c>
      <c r="L340" t="str">
        <f t="shared" si="11"/>
        <v>Phone</v>
      </c>
    </row>
    <row r="341" spans="1:12" x14ac:dyDescent="0.3">
      <c r="A341" t="s">
        <v>201</v>
      </c>
      <c r="B341" s="1">
        <v>45740.8125</v>
      </c>
      <c r="C341" s="1">
        <v>45741.283333333333</v>
      </c>
      <c r="D341" t="s">
        <v>17</v>
      </c>
      <c r="E341" t="s">
        <v>22</v>
      </c>
      <c r="F341" t="s">
        <v>13</v>
      </c>
      <c r="G341" t="s">
        <v>29</v>
      </c>
      <c r="H341" t="s">
        <v>30</v>
      </c>
      <c r="I341">
        <v>11.3</v>
      </c>
      <c r="K341" t="str">
        <f t="shared" si="10"/>
        <v>Delivery</v>
      </c>
      <c r="L341" t="str">
        <f t="shared" si="11"/>
        <v>Social Media</v>
      </c>
    </row>
    <row r="342" spans="1:12" x14ac:dyDescent="0.3">
      <c r="A342" t="s">
        <v>64</v>
      </c>
      <c r="B342" s="1">
        <v>45807.647222222222</v>
      </c>
      <c r="C342" s="1">
        <v>45808.138888888891</v>
      </c>
      <c r="D342" t="s">
        <v>47</v>
      </c>
      <c r="E342" t="s">
        <v>12</v>
      </c>
      <c r="F342" t="s">
        <v>33</v>
      </c>
      <c r="G342" t="s">
        <v>29</v>
      </c>
      <c r="H342" t="s">
        <v>34</v>
      </c>
      <c r="I342">
        <v>11.8</v>
      </c>
      <c r="K342" t="str">
        <f t="shared" si="10"/>
        <v>Product Information</v>
      </c>
      <c r="L342" t="str">
        <f t="shared" si="11"/>
        <v>Email</v>
      </c>
    </row>
    <row r="343" spans="1:12" x14ac:dyDescent="0.3">
      <c r="A343" t="s">
        <v>377</v>
      </c>
      <c r="B343" s="1">
        <v>45710.693055555559</v>
      </c>
      <c r="C343" s="1">
        <v>45711.276388888888</v>
      </c>
      <c r="D343" t="s">
        <v>28</v>
      </c>
      <c r="E343" t="s">
        <v>26</v>
      </c>
      <c r="F343" t="s">
        <v>13</v>
      </c>
      <c r="G343" t="s">
        <v>29</v>
      </c>
      <c r="H343" t="s">
        <v>20</v>
      </c>
      <c r="I343">
        <v>14</v>
      </c>
      <c r="K343" t="str">
        <f t="shared" si="10"/>
        <v>Account</v>
      </c>
      <c r="L343" t="str">
        <f t="shared" si="11"/>
        <v>Phone</v>
      </c>
    </row>
    <row r="344" spans="1:12" x14ac:dyDescent="0.3">
      <c r="A344" t="s">
        <v>536</v>
      </c>
      <c r="B344" s="1">
        <v>45729.206250000003</v>
      </c>
      <c r="C344" s="1">
        <v>45729.810416666667</v>
      </c>
      <c r="D344" t="s">
        <v>11</v>
      </c>
      <c r="E344" t="s">
        <v>12</v>
      </c>
      <c r="F344" t="s">
        <v>13</v>
      </c>
      <c r="G344" t="s">
        <v>29</v>
      </c>
      <c r="H344" t="s">
        <v>39</v>
      </c>
      <c r="I344">
        <v>14.5</v>
      </c>
      <c r="K344" t="str">
        <f t="shared" si="10"/>
        <v>Refund</v>
      </c>
      <c r="L344" t="str">
        <f t="shared" si="11"/>
        <v>Email</v>
      </c>
    </row>
    <row r="345" spans="1:12" x14ac:dyDescent="0.3">
      <c r="A345" t="s">
        <v>479</v>
      </c>
      <c r="B345" s="1">
        <v>45685.633333333331</v>
      </c>
      <c r="C345" s="1">
        <v>45686.25</v>
      </c>
      <c r="D345" t="s">
        <v>32</v>
      </c>
      <c r="E345" t="s">
        <v>18</v>
      </c>
      <c r="F345" t="s">
        <v>23</v>
      </c>
      <c r="G345" t="s">
        <v>29</v>
      </c>
      <c r="H345" t="s">
        <v>15</v>
      </c>
      <c r="I345">
        <v>14.8</v>
      </c>
      <c r="K345" t="str">
        <f t="shared" si="10"/>
        <v>Technical Issue</v>
      </c>
      <c r="L345" t="str">
        <f t="shared" si="11"/>
        <v>Chat</v>
      </c>
    </row>
    <row r="346" spans="1:12" x14ac:dyDescent="0.3">
      <c r="A346" t="s">
        <v>265</v>
      </c>
      <c r="B346" s="1">
        <v>45673.922222222223</v>
      </c>
      <c r="C346" s="1">
        <v>45674.55972222222</v>
      </c>
      <c r="D346" t="s">
        <v>32</v>
      </c>
      <c r="E346" t="s">
        <v>22</v>
      </c>
      <c r="F346" t="s">
        <v>19</v>
      </c>
      <c r="G346" t="s">
        <v>29</v>
      </c>
      <c r="H346" t="s">
        <v>30</v>
      </c>
      <c r="I346">
        <v>15.3</v>
      </c>
      <c r="K346" t="str">
        <f t="shared" si="10"/>
        <v>Technical Issue</v>
      </c>
      <c r="L346" t="str">
        <f t="shared" si="11"/>
        <v>Social Media</v>
      </c>
    </row>
    <row r="347" spans="1:12" x14ac:dyDescent="0.3">
      <c r="A347" t="s">
        <v>181</v>
      </c>
      <c r="B347" s="1">
        <v>45748.15</v>
      </c>
      <c r="C347" s="1">
        <v>45748.804166666669</v>
      </c>
      <c r="D347" t="s">
        <v>11</v>
      </c>
      <c r="E347" t="s">
        <v>22</v>
      </c>
      <c r="F347" t="s">
        <v>33</v>
      </c>
      <c r="G347" t="s">
        <v>29</v>
      </c>
      <c r="H347" t="s">
        <v>34</v>
      </c>
      <c r="I347">
        <v>15.7</v>
      </c>
      <c r="K347" t="str">
        <f t="shared" si="10"/>
        <v>Refund</v>
      </c>
      <c r="L347" t="str">
        <f t="shared" si="11"/>
        <v>Social Media</v>
      </c>
    </row>
    <row r="348" spans="1:12" x14ac:dyDescent="0.3">
      <c r="A348" t="s">
        <v>514</v>
      </c>
      <c r="B348" s="1">
        <v>45676.930555555555</v>
      </c>
      <c r="C348" s="1">
        <v>45677.605555555558</v>
      </c>
      <c r="D348" t="s">
        <v>36</v>
      </c>
      <c r="E348" t="s">
        <v>12</v>
      </c>
      <c r="F348" t="s">
        <v>33</v>
      </c>
      <c r="G348" t="s">
        <v>29</v>
      </c>
      <c r="H348" t="s">
        <v>15</v>
      </c>
      <c r="I348">
        <v>16.2</v>
      </c>
      <c r="K348" t="str">
        <f t="shared" si="10"/>
        <v>Payment</v>
      </c>
      <c r="L348" t="str">
        <f t="shared" si="11"/>
        <v>Email</v>
      </c>
    </row>
    <row r="349" spans="1:12" x14ac:dyDescent="0.3">
      <c r="A349" t="s">
        <v>409</v>
      </c>
      <c r="B349" s="1">
        <v>45666.818749999999</v>
      </c>
      <c r="C349" s="1">
        <v>45667.572916666664</v>
      </c>
      <c r="D349" t="s">
        <v>32</v>
      </c>
      <c r="E349" t="s">
        <v>22</v>
      </c>
      <c r="F349" t="s">
        <v>19</v>
      </c>
      <c r="G349" t="s">
        <v>29</v>
      </c>
      <c r="H349" t="s">
        <v>41</v>
      </c>
      <c r="I349">
        <v>18.100000000000001</v>
      </c>
      <c r="K349" t="str">
        <f t="shared" si="10"/>
        <v>Technical Issue</v>
      </c>
      <c r="L349" t="str">
        <f t="shared" si="11"/>
        <v>Social Media</v>
      </c>
    </row>
    <row r="350" spans="1:12" x14ac:dyDescent="0.3">
      <c r="A350" t="s">
        <v>246</v>
      </c>
      <c r="B350" s="1">
        <v>45669.867361111108</v>
      </c>
      <c r="C350" s="1">
        <v>45670.675694444442</v>
      </c>
      <c r="D350" t="s">
        <v>36</v>
      </c>
      <c r="E350" t="s">
        <v>22</v>
      </c>
      <c r="F350" t="s">
        <v>13</v>
      </c>
      <c r="G350" t="s">
        <v>29</v>
      </c>
      <c r="H350" t="s">
        <v>41</v>
      </c>
      <c r="I350">
        <v>19.399999999999999</v>
      </c>
      <c r="K350" t="str">
        <f t="shared" si="10"/>
        <v>Payment</v>
      </c>
      <c r="L350" t="str">
        <f t="shared" si="11"/>
        <v>Social Media</v>
      </c>
    </row>
    <row r="351" spans="1:12" x14ac:dyDescent="0.3">
      <c r="A351" t="s">
        <v>140</v>
      </c>
      <c r="B351" s="1">
        <v>45764.457638888889</v>
      </c>
      <c r="C351" s="1">
        <v>45765.274305555555</v>
      </c>
      <c r="D351" t="s">
        <v>17</v>
      </c>
      <c r="E351" t="s">
        <v>26</v>
      </c>
      <c r="F351" t="s">
        <v>23</v>
      </c>
      <c r="G351" t="s">
        <v>29</v>
      </c>
      <c r="H351" t="s">
        <v>41</v>
      </c>
      <c r="I351">
        <v>19.600000000000001</v>
      </c>
      <c r="K351" t="str">
        <f t="shared" si="10"/>
        <v>Delivery</v>
      </c>
      <c r="L351" t="str">
        <f t="shared" si="11"/>
        <v>Phone</v>
      </c>
    </row>
    <row r="352" spans="1:12" x14ac:dyDescent="0.3">
      <c r="A352" t="s">
        <v>271</v>
      </c>
      <c r="B352" s="1">
        <v>45712.286111111112</v>
      </c>
      <c r="C352" s="1">
        <v>45713.115277777775</v>
      </c>
      <c r="D352" t="s">
        <v>47</v>
      </c>
      <c r="E352" t="s">
        <v>26</v>
      </c>
      <c r="F352" t="s">
        <v>33</v>
      </c>
      <c r="G352" t="s">
        <v>29</v>
      </c>
      <c r="H352" t="s">
        <v>34</v>
      </c>
      <c r="I352">
        <v>19.899999999999999</v>
      </c>
      <c r="K352" t="str">
        <f t="shared" si="10"/>
        <v>Product Information</v>
      </c>
      <c r="L352" t="str">
        <f t="shared" si="11"/>
        <v>Phone</v>
      </c>
    </row>
    <row r="353" spans="1:12" x14ac:dyDescent="0.3">
      <c r="A353" t="s">
        <v>471</v>
      </c>
      <c r="B353" s="1">
        <v>45684.522222222222</v>
      </c>
      <c r="C353" s="1">
        <v>45685.455555555556</v>
      </c>
      <c r="D353" t="s">
        <v>17</v>
      </c>
      <c r="E353" t="s">
        <v>12</v>
      </c>
      <c r="F353" t="s">
        <v>23</v>
      </c>
      <c r="G353" t="s">
        <v>29</v>
      </c>
      <c r="H353" t="s">
        <v>24</v>
      </c>
      <c r="I353">
        <v>22.4</v>
      </c>
      <c r="K353" t="str">
        <f t="shared" si="10"/>
        <v>Delivery</v>
      </c>
      <c r="L353" t="str">
        <f t="shared" si="11"/>
        <v>Email</v>
      </c>
    </row>
    <row r="354" spans="1:12" x14ac:dyDescent="0.3">
      <c r="A354" t="s">
        <v>66</v>
      </c>
      <c r="B354" s="1">
        <v>45826.775000000001</v>
      </c>
      <c r="C354" s="1">
        <v>45827.737500000003</v>
      </c>
      <c r="D354" t="s">
        <v>32</v>
      </c>
      <c r="E354" t="s">
        <v>18</v>
      </c>
      <c r="F354" t="s">
        <v>23</v>
      </c>
      <c r="G354" t="s">
        <v>29</v>
      </c>
      <c r="H354" t="s">
        <v>20</v>
      </c>
      <c r="I354">
        <v>23.1</v>
      </c>
      <c r="K354" t="str">
        <f t="shared" si="10"/>
        <v>Technical Issue</v>
      </c>
      <c r="L354" t="str">
        <f t="shared" si="11"/>
        <v>Chat</v>
      </c>
    </row>
    <row r="355" spans="1:12" x14ac:dyDescent="0.3">
      <c r="A355" t="s">
        <v>321</v>
      </c>
      <c r="B355" s="1">
        <v>45803.529861111114</v>
      </c>
      <c r="C355" s="1">
        <v>45804.538194444445</v>
      </c>
      <c r="D355" t="s">
        <v>11</v>
      </c>
      <c r="E355" t="s">
        <v>18</v>
      </c>
      <c r="F355" t="s">
        <v>13</v>
      </c>
      <c r="G355" t="s">
        <v>29</v>
      </c>
      <c r="H355" t="s">
        <v>30</v>
      </c>
      <c r="I355">
        <v>24.2</v>
      </c>
      <c r="K355" t="str">
        <f t="shared" si="10"/>
        <v>Refund</v>
      </c>
      <c r="L355" t="str">
        <f t="shared" si="11"/>
        <v>Chat</v>
      </c>
    </row>
    <row r="356" spans="1:12" x14ac:dyDescent="0.3">
      <c r="A356" t="s">
        <v>86</v>
      </c>
      <c r="B356" s="1">
        <v>45789.902777777781</v>
      </c>
      <c r="C356" s="1">
        <v>45790.923611111109</v>
      </c>
      <c r="D356" t="s">
        <v>36</v>
      </c>
      <c r="E356" t="s">
        <v>26</v>
      </c>
      <c r="F356" t="s">
        <v>33</v>
      </c>
      <c r="G356" t="s">
        <v>29</v>
      </c>
      <c r="H356" t="s">
        <v>20</v>
      </c>
      <c r="I356">
        <v>24.5</v>
      </c>
      <c r="K356" t="str">
        <f t="shared" si="10"/>
        <v>Payment</v>
      </c>
      <c r="L356" t="str">
        <f t="shared" si="11"/>
        <v>Phone</v>
      </c>
    </row>
    <row r="357" spans="1:12" x14ac:dyDescent="0.3">
      <c r="A357" t="s">
        <v>245</v>
      </c>
      <c r="B357" s="1">
        <v>45701.902083333334</v>
      </c>
      <c r="C357" s="1">
        <v>45702.927083333336</v>
      </c>
      <c r="D357" t="s">
        <v>47</v>
      </c>
      <c r="E357" t="s">
        <v>12</v>
      </c>
      <c r="F357" t="s">
        <v>13</v>
      </c>
      <c r="G357" t="s">
        <v>29</v>
      </c>
      <c r="H357" t="s">
        <v>34</v>
      </c>
      <c r="I357">
        <v>24.6</v>
      </c>
      <c r="K357" t="str">
        <f t="shared" si="10"/>
        <v>Product Information</v>
      </c>
      <c r="L357" t="str">
        <f t="shared" si="11"/>
        <v>Email</v>
      </c>
    </row>
    <row r="358" spans="1:12" x14ac:dyDescent="0.3">
      <c r="A358" t="s">
        <v>224</v>
      </c>
      <c r="B358" s="1">
        <v>45692.056944444441</v>
      </c>
      <c r="C358" s="1">
        <v>45693.086111111108</v>
      </c>
      <c r="D358" t="s">
        <v>11</v>
      </c>
      <c r="E358" t="s">
        <v>18</v>
      </c>
      <c r="F358" t="s">
        <v>19</v>
      </c>
      <c r="G358" t="s">
        <v>29</v>
      </c>
      <c r="H358" t="s">
        <v>41</v>
      </c>
      <c r="I358">
        <v>24.7</v>
      </c>
      <c r="K358" t="str">
        <f t="shared" si="10"/>
        <v>Refund</v>
      </c>
      <c r="L358" t="str">
        <f t="shared" si="11"/>
        <v>Chat</v>
      </c>
    </row>
    <row r="359" spans="1:12" x14ac:dyDescent="0.3">
      <c r="A359" t="s">
        <v>266</v>
      </c>
      <c r="B359" s="1">
        <v>45702.623611111114</v>
      </c>
      <c r="C359" s="1">
        <v>45703.665277777778</v>
      </c>
      <c r="D359" t="s">
        <v>32</v>
      </c>
      <c r="E359" t="s">
        <v>26</v>
      </c>
      <c r="F359" t="s">
        <v>19</v>
      </c>
      <c r="G359" t="s">
        <v>29</v>
      </c>
      <c r="H359" t="s">
        <v>20</v>
      </c>
      <c r="I359">
        <v>25</v>
      </c>
      <c r="K359" t="str">
        <f t="shared" si="10"/>
        <v>Technical Issue</v>
      </c>
      <c r="L359" t="str">
        <f t="shared" si="11"/>
        <v>Phone</v>
      </c>
    </row>
    <row r="360" spans="1:12" x14ac:dyDescent="0.3">
      <c r="A360" t="s">
        <v>194</v>
      </c>
      <c r="B360" s="1">
        <v>45685.310416666667</v>
      </c>
      <c r="C360" s="1">
        <v>45686.522916666669</v>
      </c>
      <c r="D360" t="s">
        <v>17</v>
      </c>
      <c r="E360" t="s">
        <v>22</v>
      </c>
      <c r="F360" t="s">
        <v>23</v>
      </c>
      <c r="G360" t="s">
        <v>29</v>
      </c>
      <c r="H360" t="s">
        <v>30</v>
      </c>
      <c r="I360">
        <v>29.1</v>
      </c>
      <c r="K360" t="str">
        <f t="shared" si="10"/>
        <v>Delivery</v>
      </c>
      <c r="L360" t="str">
        <f t="shared" si="11"/>
        <v>Social Media</v>
      </c>
    </row>
    <row r="361" spans="1:12" x14ac:dyDescent="0.3">
      <c r="A361" s="4" t="s">
        <v>449</v>
      </c>
      <c r="B361" s="5">
        <v>45674.40625</v>
      </c>
      <c r="C361" s="5">
        <v>45675.627083333333</v>
      </c>
      <c r="D361" s="4"/>
      <c r="E361" s="4" t="s">
        <v>12</v>
      </c>
      <c r="F361" s="4" t="s">
        <v>33</v>
      </c>
      <c r="G361" s="4" t="s">
        <v>29</v>
      </c>
      <c r="H361" s="4" t="s">
        <v>20</v>
      </c>
      <c r="I361" s="4">
        <v>29.3</v>
      </c>
      <c r="J361" s="4"/>
      <c r="K361" s="4" t="str">
        <f t="shared" si="10"/>
        <v/>
      </c>
      <c r="L361" s="4" t="str">
        <f t="shared" si="11"/>
        <v>Email</v>
      </c>
    </row>
    <row r="362" spans="1:12" x14ac:dyDescent="0.3">
      <c r="A362" t="s">
        <v>137</v>
      </c>
      <c r="B362" s="1">
        <v>45737.708333333336</v>
      </c>
      <c r="C362" s="1">
        <v>45738.945833333331</v>
      </c>
      <c r="D362" t="s">
        <v>36</v>
      </c>
      <c r="E362" t="s">
        <v>12</v>
      </c>
      <c r="F362" t="s">
        <v>19</v>
      </c>
      <c r="G362" t="s">
        <v>29</v>
      </c>
      <c r="H362" t="s">
        <v>34</v>
      </c>
      <c r="I362">
        <v>29.7</v>
      </c>
      <c r="K362" t="str">
        <f t="shared" si="10"/>
        <v>Payment</v>
      </c>
      <c r="L362" t="str">
        <f t="shared" si="11"/>
        <v>Email</v>
      </c>
    </row>
    <row r="363" spans="1:12" x14ac:dyDescent="0.3">
      <c r="A363" t="s">
        <v>251</v>
      </c>
      <c r="B363" s="1">
        <v>45732.538194444445</v>
      </c>
      <c r="C363" s="1">
        <v>45733.804861111108</v>
      </c>
      <c r="D363" t="s">
        <v>36</v>
      </c>
      <c r="E363" t="s">
        <v>26</v>
      </c>
      <c r="F363" t="s">
        <v>23</v>
      </c>
      <c r="G363" t="s">
        <v>29</v>
      </c>
      <c r="H363" t="s">
        <v>20</v>
      </c>
      <c r="I363">
        <v>30.4</v>
      </c>
      <c r="K363" t="str">
        <f t="shared" si="10"/>
        <v>Payment</v>
      </c>
      <c r="L363" t="str">
        <f t="shared" si="11"/>
        <v>Phone</v>
      </c>
    </row>
    <row r="364" spans="1:12" x14ac:dyDescent="0.3">
      <c r="A364" t="s">
        <v>164</v>
      </c>
      <c r="B364" s="1">
        <v>45829.988888888889</v>
      </c>
      <c r="C364" s="1">
        <v>45831.259722222225</v>
      </c>
      <c r="D364" t="s">
        <v>11</v>
      </c>
      <c r="E364" t="s">
        <v>18</v>
      </c>
      <c r="F364" t="s">
        <v>19</v>
      </c>
      <c r="G364" t="s">
        <v>29</v>
      </c>
      <c r="H364" t="s">
        <v>34</v>
      </c>
      <c r="I364">
        <v>30.5</v>
      </c>
      <c r="K364" t="str">
        <f t="shared" si="10"/>
        <v>Refund</v>
      </c>
      <c r="L364" t="str">
        <f t="shared" si="11"/>
        <v>Chat</v>
      </c>
    </row>
    <row r="365" spans="1:12" x14ac:dyDescent="0.3">
      <c r="A365" t="s">
        <v>379</v>
      </c>
      <c r="B365" s="1">
        <v>45691.538194444445</v>
      </c>
      <c r="C365" s="1">
        <v>45692.813194444447</v>
      </c>
      <c r="D365" t="s">
        <v>47</v>
      </c>
      <c r="E365" t="s">
        <v>18</v>
      </c>
      <c r="F365" t="s">
        <v>19</v>
      </c>
      <c r="G365" t="s">
        <v>29</v>
      </c>
      <c r="H365" t="s">
        <v>34</v>
      </c>
      <c r="I365">
        <v>30.6</v>
      </c>
      <c r="K365" t="str">
        <f t="shared" si="10"/>
        <v>Product Information</v>
      </c>
      <c r="L365" t="str">
        <f t="shared" si="11"/>
        <v>Chat</v>
      </c>
    </row>
    <row r="366" spans="1:12" x14ac:dyDescent="0.3">
      <c r="A366" t="s">
        <v>287</v>
      </c>
      <c r="B366" s="1">
        <v>45700.45416666667</v>
      </c>
      <c r="C366" s="1">
        <v>45701.791666666664</v>
      </c>
      <c r="D366" t="s">
        <v>11</v>
      </c>
      <c r="E366" t="s">
        <v>18</v>
      </c>
      <c r="F366" t="s">
        <v>19</v>
      </c>
      <c r="G366" t="s">
        <v>29</v>
      </c>
      <c r="H366" t="s">
        <v>34</v>
      </c>
      <c r="I366">
        <v>32.1</v>
      </c>
      <c r="K366" t="str">
        <f t="shared" si="10"/>
        <v>Refund</v>
      </c>
      <c r="L366" t="str">
        <f t="shared" si="11"/>
        <v>Chat</v>
      </c>
    </row>
    <row r="367" spans="1:12" x14ac:dyDescent="0.3">
      <c r="A367" t="s">
        <v>493</v>
      </c>
      <c r="B367" s="1">
        <v>45678.602777777778</v>
      </c>
      <c r="C367" s="1">
        <v>45679.956944444442</v>
      </c>
      <c r="D367" t="s">
        <v>28</v>
      </c>
      <c r="E367" t="s">
        <v>22</v>
      </c>
      <c r="F367" t="s">
        <v>23</v>
      </c>
      <c r="G367" t="s">
        <v>29</v>
      </c>
      <c r="H367" t="s">
        <v>34</v>
      </c>
      <c r="I367">
        <v>32.5</v>
      </c>
      <c r="K367" t="str">
        <f t="shared" si="10"/>
        <v>Account</v>
      </c>
      <c r="L367" t="str">
        <f t="shared" si="11"/>
        <v>Social Media</v>
      </c>
    </row>
    <row r="368" spans="1:12" x14ac:dyDescent="0.3">
      <c r="A368" t="s">
        <v>89</v>
      </c>
      <c r="B368" s="1">
        <v>45766.299305555556</v>
      </c>
      <c r="C368" s="1">
        <v>45767.703472222223</v>
      </c>
      <c r="D368" t="s">
        <v>47</v>
      </c>
      <c r="E368" t="s">
        <v>18</v>
      </c>
      <c r="F368" t="s">
        <v>13</v>
      </c>
      <c r="G368" t="s">
        <v>29</v>
      </c>
      <c r="H368" t="s">
        <v>41</v>
      </c>
      <c r="I368">
        <v>33.700000000000003</v>
      </c>
      <c r="K368" t="str">
        <f t="shared" si="10"/>
        <v>Product Information</v>
      </c>
      <c r="L368" t="str">
        <f t="shared" si="11"/>
        <v>Chat</v>
      </c>
    </row>
    <row r="369" spans="1:12" x14ac:dyDescent="0.3">
      <c r="A369" t="s">
        <v>85</v>
      </c>
      <c r="B369" s="1">
        <v>45771.884027777778</v>
      </c>
      <c r="C369" s="1">
        <v>45773.313194444447</v>
      </c>
      <c r="D369" t="s">
        <v>11</v>
      </c>
      <c r="E369" t="s">
        <v>18</v>
      </c>
      <c r="F369" t="s">
        <v>13</v>
      </c>
      <c r="G369" t="s">
        <v>29</v>
      </c>
      <c r="H369" t="s">
        <v>24</v>
      </c>
      <c r="I369">
        <v>34.299999999999997</v>
      </c>
      <c r="K369" t="str">
        <f t="shared" si="10"/>
        <v>Refund</v>
      </c>
      <c r="L369" t="str">
        <f t="shared" si="11"/>
        <v>Chat</v>
      </c>
    </row>
    <row r="370" spans="1:12" x14ac:dyDescent="0.3">
      <c r="A370" t="s">
        <v>319</v>
      </c>
      <c r="B370" s="1">
        <v>45716.289583333331</v>
      </c>
      <c r="C370" s="1">
        <v>45717.727083333331</v>
      </c>
      <c r="D370" t="s">
        <v>17</v>
      </c>
      <c r="E370" t="s">
        <v>12</v>
      </c>
      <c r="F370" t="s">
        <v>23</v>
      </c>
      <c r="G370" t="s">
        <v>29</v>
      </c>
      <c r="H370" t="s">
        <v>39</v>
      </c>
      <c r="I370">
        <v>34.5</v>
      </c>
      <c r="K370" t="str">
        <f t="shared" si="10"/>
        <v>Delivery</v>
      </c>
      <c r="L370" t="str">
        <f t="shared" si="11"/>
        <v>Email</v>
      </c>
    </row>
    <row r="371" spans="1:12" x14ac:dyDescent="0.3">
      <c r="A371" t="s">
        <v>43</v>
      </c>
      <c r="B371" s="1">
        <v>45750.297222222223</v>
      </c>
      <c r="C371" s="1">
        <v>45751.788888888892</v>
      </c>
      <c r="D371" t="s">
        <v>17</v>
      </c>
      <c r="E371" t="s">
        <v>12</v>
      </c>
      <c r="F371" t="s">
        <v>33</v>
      </c>
      <c r="G371" t="s">
        <v>29</v>
      </c>
      <c r="H371" t="s">
        <v>37</v>
      </c>
      <c r="I371">
        <v>35.799999999999997</v>
      </c>
      <c r="K371" t="str">
        <f t="shared" si="10"/>
        <v>Delivery</v>
      </c>
      <c r="L371" t="str">
        <f t="shared" si="11"/>
        <v>Email</v>
      </c>
    </row>
    <row r="372" spans="1:12" x14ac:dyDescent="0.3">
      <c r="A372" t="s">
        <v>480</v>
      </c>
      <c r="B372" s="1">
        <v>45733.209722222222</v>
      </c>
      <c r="C372" s="1">
        <v>45734.709722222222</v>
      </c>
      <c r="D372" t="s">
        <v>36</v>
      </c>
      <c r="E372" t="s">
        <v>22</v>
      </c>
      <c r="F372" t="s">
        <v>23</v>
      </c>
      <c r="G372" t="s">
        <v>29</v>
      </c>
      <c r="H372" t="s">
        <v>20</v>
      </c>
      <c r="I372">
        <v>36</v>
      </c>
      <c r="K372" t="str">
        <f t="shared" si="10"/>
        <v>Payment</v>
      </c>
      <c r="L372" t="str">
        <f t="shared" si="11"/>
        <v>Social Media</v>
      </c>
    </row>
    <row r="373" spans="1:12" x14ac:dyDescent="0.3">
      <c r="A373" t="s">
        <v>474</v>
      </c>
      <c r="B373" s="1">
        <v>45712.959027777775</v>
      </c>
      <c r="C373" s="1">
        <v>45714.484027777777</v>
      </c>
      <c r="D373" t="s">
        <v>17</v>
      </c>
      <c r="E373" t="s">
        <v>26</v>
      </c>
      <c r="F373" t="s">
        <v>13</v>
      </c>
      <c r="G373" t="s">
        <v>29</v>
      </c>
      <c r="H373" t="s">
        <v>15</v>
      </c>
      <c r="I373">
        <v>36.6</v>
      </c>
      <c r="K373" t="str">
        <f t="shared" si="10"/>
        <v>Delivery</v>
      </c>
      <c r="L373" t="str">
        <f t="shared" si="11"/>
        <v>Phone</v>
      </c>
    </row>
    <row r="374" spans="1:12" x14ac:dyDescent="0.3">
      <c r="A374" t="s">
        <v>200</v>
      </c>
      <c r="B374" s="1">
        <v>45823.11041666667</v>
      </c>
      <c r="C374" s="1">
        <v>45824.643750000003</v>
      </c>
      <c r="D374" t="s">
        <v>28</v>
      </c>
      <c r="E374" t="s">
        <v>12</v>
      </c>
      <c r="F374" t="s">
        <v>19</v>
      </c>
      <c r="G374" t="s">
        <v>29</v>
      </c>
      <c r="H374" t="s">
        <v>20</v>
      </c>
      <c r="I374">
        <v>36.799999999999997</v>
      </c>
      <c r="K374" t="str">
        <f t="shared" si="10"/>
        <v>Account</v>
      </c>
      <c r="L374" t="str">
        <f t="shared" si="11"/>
        <v>Email</v>
      </c>
    </row>
    <row r="375" spans="1:12" x14ac:dyDescent="0.3">
      <c r="A375" t="s">
        <v>441</v>
      </c>
      <c r="B375" s="1">
        <v>45661.943749999999</v>
      </c>
      <c r="C375" s="1">
        <v>45663.522916666669</v>
      </c>
      <c r="D375" t="s">
        <v>28</v>
      </c>
      <c r="E375" t="s">
        <v>12</v>
      </c>
      <c r="F375" t="s">
        <v>19</v>
      </c>
      <c r="G375" t="s">
        <v>29</v>
      </c>
      <c r="H375" t="s">
        <v>37</v>
      </c>
      <c r="I375">
        <v>37.9</v>
      </c>
      <c r="K375" t="str">
        <f t="shared" si="10"/>
        <v>Account</v>
      </c>
      <c r="L375" t="str">
        <f t="shared" si="11"/>
        <v>Email</v>
      </c>
    </row>
    <row r="376" spans="1:12" x14ac:dyDescent="0.3">
      <c r="A376" t="s">
        <v>472</v>
      </c>
      <c r="B376" s="1">
        <v>45774.981249999997</v>
      </c>
      <c r="C376" s="1">
        <v>45776.564583333333</v>
      </c>
      <c r="D376" t="s">
        <v>28</v>
      </c>
      <c r="E376" t="s">
        <v>18</v>
      </c>
      <c r="F376" t="s">
        <v>23</v>
      </c>
      <c r="G376" t="s">
        <v>29</v>
      </c>
      <c r="H376" t="s">
        <v>41</v>
      </c>
      <c r="I376">
        <v>38</v>
      </c>
      <c r="K376" t="str">
        <f t="shared" si="10"/>
        <v>Account</v>
      </c>
      <c r="L376" t="str">
        <f t="shared" si="11"/>
        <v>Chat</v>
      </c>
    </row>
    <row r="377" spans="1:12" x14ac:dyDescent="0.3">
      <c r="A377" t="s">
        <v>516</v>
      </c>
      <c r="B377" s="1">
        <v>45733.283333333333</v>
      </c>
      <c r="C377" s="1">
        <v>45734.883333333331</v>
      </c>
      <c r="D377" t="s">
        <v>47</v>
      </c>
      <c r="E377" t="s">
        <v>12</v>
      </c>
      <c r="F377" t="s">
        <v>13</v>
      </c>
      <c r="G377" t="s">
        <v>29</v>
      </c>
      <c r="H377" t="s">
        <v>30</v>
      </c>
      <c r="I377">
        <v>38.4</v>
      </c>
      <c r="K377" t="str">
        <f t="shared" si="10"/>
        <v>Product Information</v>
      </c>
      <c r="L377" t="str">
        <f t="shared" si="11"/>
        <v>Email</v>
      </c>
    </row>
    <row r="378" spans="1:12" x14ac:dyDescent="0.3">
      <c r="A378" t="s">
        <v>129</v>
      </c>
      <c r="B378" s="1">
        <v>45837.511805555558</v>
      </c>
      <c r="C378" s="1">
        <v>45839.140972222223</v>
      </c>
      <c r="D378" t="s">
        <v>28</v>
      </c>
      <c r="E378" t="s">
        <v>12</v>
      </c>
      <c r="F378" t="s">
        <v>13</v>
      </c>
      <c r="G378" t="s">
        <v>29</v>
      </c>
      <c r="H378" t="s">
        <v>15</v>
      </c>
      <c r="I378">
        <v>39.1</v>
      </c>
      <c r="K378" t="str">
        <f t="shared" si="10"/>
        <v>Account</v>
      </c>
      <c r="L378" t="str">
        <f t="shared" si="11"/>
        <v>Email</v>
      </c>
    </row>
    <row r="379" spans="1:12" x14ac:dyDescent="0.3">
      <c r="A379" t="s">
        <v>222</v>
      </c>
      <c r="B379" s="1">
        <v>45792.730555555558</v>
      </c>
      <c r="C379" s="1">
        <v>45794.401388888888</v>
      </c>
      <c r="D379" t="s">
        <v>28</v>
      </c>
      <c r="E379" t="s">
        <v>22</v>
      </c>
      <c r="F379" t="s">
        <v>13</v>
      </c>
      <c r="G379" t="s">
        <v>29</v>
      </c>
      <c r="H379" t="s">
        <v>15</v>
      </c>
      <c r="I379">
        <v>40.1</v>
      </c>
      <c r="K379" t="str">
        <f t="shared" si="10"/>
        <v>Account</v>
      </c>
      <c r="L379" t="str">
        <f t="shared" si="11"/>
        <v>Social Media</v>
      </c>
    </row>
    <row r="380" spans="1:12" x14ac:dyDescent="0.3">
      <c r="A380" t="s">
        <v>220</v>
      </c>
      <c r="B380" s="1">
        <v>45810.709027777775</v>
      </c>
      <c r="C380" s="1">
        <v>45812.442361111112</v>
      </c>
      <c r="D380" t="s">
        <v>11</v>
      </c>
      <c r="E380" t="s">
        <v>18</v>
      </c>
      <c r="F380" t="s">
        <v>23</v>
      </c>
      <c r="G380" t="s">
        <v>29</v>
      </c>
      <c r="H380" t="s">
        <v>15</v>
      </c>
      <c r="I380">
        <v>41.6</v>
      </c>
      <c r="K380" t="str">
        <f t="shared" si="10"/>
        <v>Refund</v>
      </c>
      <c r="L380" t="str">
        <f t="shared" si="11"/>
        <v>Chat</v>
      </c>
    </row>
    <row r="381" spans="1:12" x14ac:dyDescent="0.3">
      <c r="A381" t="s">
        <v>308</v>
      </c>
      <c r="B381" s="1">
        <v>45724.749305555553</v>
      </c>
      <c r="C381" s="1">
        <v>45726.495138888888</v>
      </c>
      <c r="D381" t="s">
        <v>28</v>
      </c>
      <c r="E381" t="s">
        <v>26</v>
      </c>
      <c r="F381" t="s">
        <v>33</v>
      </c>
      <c r="G381" t="s">
        <v>29</v>
      </c>
      <c r="H381" t="s">
        <v>20</v>
      </c>
      <c r="I381">
        <v>41.9</v>
      </c>
      <c r="K381" t="str">
        <f t="shared" si="10"/>
        <v>Account</v>
      </c>
      <c r="L381" t="str">
        <f t="shared" si="11"/>
        <v>Phone</v>
      </c>
    </row>
    <row r="382" spans="1:12" x14ac:dyDescent="0.3">
      <c r="A382" t="s">
        <v>537</v>
      </c>
      <c r="B382" s="1">
        <v>45787.834027777775</v>
      </c>
      <c r="C382" s="1">
        <v>45789.579861111109</v>
      </c>
      <c r="D382" t="s">
        <v>47</v>
      </c>
      <c r="E382" t="s">
        <v>18</v>
      </c>
      <c r="F382" t="s">
        <v>13</v>
      </c>
      <c r="G382" t="s">
        <v>29</v>
      </c>
      <c r="H382" t="s">
        <v>24</v>
      </c>
      <c r="I382">
        <v>41.9</v>
      </c>
      <c r="K382" t="str">
        <f t="shared" si="10"/>
        <v>Product Information</v>
      </c>
      <c r="L382" t="str">
        <f t="shared" si="11"/>
        <v>Chat</v>
      </c>
    </row>
    <row r="383" spans="1:12" x14ac:dyDescent="0.3">
      <c r="A383" t="s">
        <v>496</v>
      </c>
      <c r="B383" s="1">
        <v>45774.440972222219</v>
      </c>
      <c r="C383" s="1">
        <v>45776.249305555553</v>
      </c>
      <c r="D383" t="s">
        <v>11</v>
      </c>
      <c r="E383" t="s">
        <v>26</v>
      </c>
      <c r="F383" t="s">
        <v>19</v>
      </c>
      <c r="G383" t="s">
        <v>29</v>
      </c>
      <c r="H383" t="s">
        <v>34</v>
      </c>
      <c r="I383">
        <v>43.4</v>
      </c>
      <c r="K383" t="str">
        <f t="shared" si="10"/>
        <v>Refund</v>
      </c>
      <c r="L383" t="str">
        <f t="shared" si="11"/>
        <v>Phone</v>
      </c>
    </row>
    <row r="384" spans="1:12" x14ac:dyDescent="0.3">
      <c r="A384" t="s">
        <v>502</v>
      </c>
      <c r="B384" s="1">
        <v>45690.14166666667</v>
      </c>
      <c r="C384" s="1">
        <v>45691.966666666667</v>
      </c>
      <c r="D384" t="s">
        <v>32</v>
      </c>
      <c r="E384" t="s">
        <v>22</v>
      </c>
      <c r="F384" t="s">
        <v>19</v>
      </c>
      <c r="G384" t="s">
        <v>29</v>
      </c>
      <c r="H384" t="s">
        <v>20</v>
      </c>
      <c r="I384">
        <v>43.8</v>
      </c>
      <c r="K384" t="str">
        <f t="shared" si="10"/>
        <v>Technical Issue</v>
      </c>
      <c r="L384" t="str">
        <f t="shared" si="11"/>
        <v>Social Media</v>
      </c>
    </row>
    <row r="385" spans="1:12" x14ac:dyDescent="0.3">
      <c r="A385" t="s">
        <v>475</v>
      </c>
      <c r="B385" s="1">
        <v>45821.367361111108</v>
      </c>
      <c r="C385" s="1">
        <v>45823.246527777781</v>
      </c>
      <c r="D385" t="s">
        <v>47</v>
      </c>
      <c r="E385" t="s">
        <v>12</v>
      </c>
      <c r="F385" t="s">
        <v>13</v>
      </c>
      <c r="G385" t="s">
        <v>29</v>
      </c>
      <c r="H385" t="s">
        <v>39</v>
      </c>
      <c r="I385">
        <v>45.1</v>
      </c>
      <c r="K385" t="str">
        <f t="shared" si="10"/>
        <v>Product Information</v>
      </c>
      <c r="L385" t="str">
        <f t="shared" si="11"/>
        <v>Email</v>
      </c>
    </row>
    <row r="386" spans="1:12" x14ac:dyDescent="0.3">
      <c r="A386" t="s">
        <v>106</v>
      </c>
      <c r="B386" s="1">
        <v>45827.461111111108</v>
      </c>
      <c r="C386" s="1">
        <v>45829.411111111112</v>
      </c>
      <c r="D386" t="s">
        <v>17</v>
      </c>
      <c r="E386" t="s">
        <v>22</v>
      </c>
      <c r="F386" t="s">
        <v>19</v>
      </c>
      <c r="G386" t="s">
        <v>29</v>
      </c>
      <c r="H386" t="s">
        <v>34</v>
      </c>
      <c r="I386">
        <v>46.8</v>
      </c>
      <c r="K386" t="str">
        <f t="shared" ref="K386:K449" si="12">TRIM(D386)</f>
        <v>Delivery</v>
      </c>
      <c r="L386" t="str">
        <f t="shared" ref="L386:L449" si="13">TRIM(E386)</f>
        <v>Social Media</v>
      </c>
    </row>
    <row r="387" spans="1:12" x14ac:dyDescent="0.3">
      <c r="A387" t="s">
        <v>324</v>
      </c>
      <c r="B387" s="1">
        <v>45768.238194444442</v>
      </c>
      <c r="C387" s="1">
        <v>45770.225694444445</v>
      </c>
      <c r="D387" t="s">
        <v>17</v>
      </c>
      <c r="E387" t="s">
        <v>26</v>
      </c>
      <c r="F387" t="s">
        <v>33</v>
      </c>
      <c r="G387" t="s">
        <v>29</v>
      </c>
      <c r="H387" t="s">
        <v>34</v>
      </c>
      <c r="I387">
        <v>47.7</v>
      </c>
      <c r="K387" t="str">
        <f t="shared" si="12"/>
        <v>Delivery</v>
      </c>
      <c r="L387" t="str">
        <f t="shared" si="13"/>
        <v>Phone</v>
      </c>
    </row>
    <row r="388" spans="1:12" x14ac:dyDescent="0.3">
      <c r="A388" t="s">
        <v>388</v>
      </c>
      <c r="B388" s="1">
        <v>45723.164583333331</v>
      </c>
      <c r="C388" s="1">
        <v>45725.193749999999</v>
      </c>
      <c r="D388" t="s">
        <v>17</v>
      </c>
      <c r="E388" t="s">
        <v>18</v>
      </c>
      <c r="F388" t="s">
        <v>13</v>
      </c>
      <c r="G388" t="s">
        <v>29</v>
      </c>
      <c r="H388" t="s">
        <v>39</v>
      </c>
      <c r="I388">
        <v>48.7</v>
      </c>
      <c r="K388" t="str">
        <f t="shared" si="12"/>
        <v>Delivery</v>
      </c>
      <c r="L388" t="str">
        <f t="shared" si="13"/>
        <v>Chat</v>
      </c>
    </row>
    <row r="389" spans="1:12" x14ac:dyDescent="0.3">
      <c r="A389" t="s">
        <v>341</v>
      </c>
      <c r="B389" s="1">
        <v>45758.617361111108</v>
      </c>
      <c r="C389" s="1">
        <v>45760.696527777778</v>
      </c>
      <c r="D389" t="s">
        <v>36</v>
      </c>
      <c r="E389" t="s">
        <v>26</v>
      </c>
      <c r="F389" t="s">
        <v>13</v>
      </c>
      <c r="G389" t="s">
        <v>29</v>
      </c>
      <c r="H389" t="s">
        <v>41</v>
      </c>
      <c r="I389">
        <v>49.9</v>
      </c>
      <c r="K389" t="str">
        <f t="shared" si="12"/>
        <v>Payment</v>
      </c>
      <c r="L389" t="str">
        <f t="shared" si="13"/>
        <v>Phone</v>
      </c>
    </row>
    <row r="390" spans="1:12" x14ac:dyDescent="0.3">
      <c r="A390" t="s">
        <v>69</v>
      </c>
      <c r="B390" s="1">
        <v>45698.620138888888</v>
      </c>
      <c r="C390" s="1">
        <v>45700.736805555556</v>
      </c>
      <c r="D390" t="s">
        <v>47</v>
      </c>
      <c r="E390" t="s">
        <v>12</v>
      </c>
      <c r="F390" t="s">
        <v>23</v>
      </c>
      <c r="G390" t="s">
        <v>29</v>
      </c>
      <c r="H390" t="s">
        <v>34</v>
      </c>
      <c r="I390">
        <v>50.8</v>
      </c>
      <c r="K390" t="str">
        <f t="shared" si="12"/>
        <v>Product Information</v>
      </c>
      <c r="L390" t="str">
        <f t="shared" si="13"/>
        <v>Email</v>
      </c>
    </row>
    <row r="391" spans="1:12" x14ac:dyDescent="0.3">
      <c r="A391" t="s">
        <v>176</v>
      </c>
      <c r="B391" s="1">
        <v>45825.87222222222</v>
      </c>
      <c r="C391" s="1">
        <v>45828.038888888892</v>
      </c>
      <c r="D391" t="s">
        <v>36</v>
      </c>
      <c r="E391" t="s">
        <v>22</v>
      </c>
      <c r="F391" t="s">
        <v>19</v>
      </c>
      <c r="G391" t="s">
        <v>29</v>
      </c>
      <c r="H391" t="s">
        <v>20</v>
      </c>
      <c r="I391">
        <v>52</v>
      </c>
      <c r="K391" t="str">
        <f t="shared" si="12"/>
        <v>Payment</v>
      </c>
      <c r="L391" t="str">
        <f t="shared" si="13"/>
        <v>Social Media</v>
      </c>
    </row>
    <row r="392" spans="1:12" x14ac:dyDescent="0.3">
      <c r="A392" t="s">
        <v>518</v>
      </c>
      <c r="B392" s="1">
        <v>45687.511111111111</v>
      </c>
      <c r="C392" s="1">
        <v>45689.69027777778</v>
      </c>
      <c r="D392" t="s">
        <v>17</v>
      </c>
      <c r="E392" t="s">
        <v>26</v>
      </c>
      <c r="F392" t="s">
        <v>19</v>
      </c>
      <c r="G392" t="s">
        <v>29</v>
      </c>
      <c r="H392" t="s">
        <v>41</v>
      </c>
      <c r="I392">
        <v>52.3</v>
      </c>
      <c r="K392" t="str">
        <f t="shared" si="12"/>
        <v>Delivery</v>
      </c>
      <c r="L392" t="str">
        <f t="shared" si="13"/>
        <v>Phone</v>
      </c>
    </row>
    <row r="393" spans="1:12" x14ac:dyDescent="0.3">
      <c r="A393" t="s">
        <v>442</v>
      </c>
      <c r="B393" s="1">
        <v>45695.775694444441</v>
      </c>
      <c r="C393" s="1">
        <v>45698.054861111108</v>
      </c>
      <c r="D393" t="s">
        <v>17</v>
      </c>
      <c r="E393" t="s">
        <v>12</v>
      </c>
      <c r="F393" t="s">
        <v>13</v>
      </c>
      <c r="G393" t="s">
        <v>29</v>
      </c>
      <c r="H393" t="s">
        <v>24</v>
      </c>
      <c r="I393">
        <v>54.7</v>
      </c>
      <c r="K393" t="str">
        <f t="shared" si="12"/>
        <v>Delivery</v>
      </c>
      <c r="L393" t="str">
        <f t="shared" si="13"/>
        <v>Email</v>
      </c>
    </row>
    <row r="394" spans="1:12" x14ac:dyDescent="0.3">
      <c r="A394" t="s">
        <v>197</v>
      </c>
      <c r="B394" s="1">
        <v>45818.645138888889</v>
      </c>
      <c r="C394" s="1">
        <v>45820.928472222222</v>
      </c>
      <c r="D394" t="s">
        <v>28</v>
      </c>
      <c r="E394" t="s">
        <v>26</v>
      </c>
      <c r="F394" t="s">
        <v>23</v>
      </c>
      <c r="G394" t="s">
        <v>29</v>
      </c>
      <c r="H394" t="s">
        <v>37</v>
      </c>
      <c r="I394">
        <v>54.8</v>
      </c>
      <c r="K394" t="str">
        <f t="shared" si="12"/>
        <v>Account</v>
      </c>
      <c r="L394" t="str">
        <f t="shared" si="13"/>
        <v>Phone</v>
      </c>
    </row>
    <row r="395" spans="1:12" x14ac:dyDescent="0.3">
      <c r="A395" t="s">
        <v>453</v>
      </c>
      <c r="B395" s="1">
        <v>45756.048611111109</v>
      </c>
      <c r="C395" s="1">
        <v>45758.394444444442</v>
      </c>
      <c r="D395" t="s">
        <v>36</v>
      </c>
      <c r="E395" t="s">
        <v>18</v>
      </c>
      <c r="F395" t="s">
        <v>33</v>
      </c>
      <c r="G395" t="s">
        <v>29</v>
      </c>
      <c r="H395" t="s">
        <v>20</v>
      </c>
      <c r="I395">
        <v>56.3</v>
      </c>
      <c r="K395" t="str">
        <f t="shared" si="12"/>
        <v>Payment</v>
      </c>
      <c r="L395" t="str">
        <f t="shared" si="13"/>
        <v>Chat</v>
      </c>
    </row>
    <row r="396" spans="1:12" x14ac:dyDescent="0.3">
      <c r="A396" t="s">
        <v>421</v>
      </c>
      <c r="B396" s="1">
        <v>45702.940972222219</v>
      </c>
      <c r="C396" s="1">
        <v>45705.307638888888</v>
      </c>
      <c r="D396" t="s">
        <v>36</v>
      </c>
      <c r="E396" t="s">
        <v>18</v>
      </c>
      <c r="F396" t="s">
        <v>19</v>
      </c>
      <c r="G396" t="s">
        <v>29</v>
      </c>
      <c r="H396" t="s">
        <v>24</v>
      </c>
      <c r="I396">
        <v>56.8</v>
      </c>
      <c r="K396" t="str">
        <f t="shared" si="12"/>
        <v>Payment</v>
      </c>
      <c r="L396" t="str">
        <f t="shared" si="13"/>
        <v>Chat</v>
      </c>
    </row>
    <row r="397" spans="1:12" x14ac:dyDescent="0.3">
      <c r="A397" t="s">
        <v>122</v>
      </c>
      <c r="B397" s="1">
        <v>45800.568055555559</v>
      </c>
      <c r="C397" s="1">
        <v>45802.943055555559</v>
      </c>
      <c r="D397" t="s">
        <v>36</v>
      </c>
      <c r="E397" t="s">
        <v>22</v>
      </c>
      <c r="F397" t="s">
        <v>19</v>
      </c>
      <c r="G397" t="s">
        <v>29</v>
      </c>
      <c r="H397" t="s">
        <v>41</v>
      </c>
      <c r="I397">
        <v>57</v>
      </c>
      <c r="K397" t="str">
        <f t="shared" si="12"/>
        <v>Payment</v>
      </c>
      <c r="L397" t="str">
        <f t="shared" si="13"/>
        <v>Social Media</v>
      </c>
    </row>
    <row r="398" spans="1:12" x14ac:dyDescent="0.3">
      <c r="A398" t="s">
        <v>108</v>
      </c>
      <c r="B398" s="1">
        <v>45791.845138888886</v>
      </c>
      <c r="C398" s="1">
        <v>45794.274305555555</v>
      </c>
      <c r="D398" t="s">
        <v>47</v>
      </c>
      <c r="E398" t="s">
        <v>22</v>
      </c>
      <c r="F398" t="s">
        <v>19</v>
      </c>
      <c r="G398" t="s">
        <v>29</v>
      </c>
      <c r="H398" t="s">
        <v>15</v>
      </c>
      <c r="I398">
        <v>58.3</v>
      </c>
      <c r="K398" t="str">
        <f t="shared" si="12"/>
        <v>Product Information</v>
      </c>
      <c r="L398" t="str">
        <f t="shared" si="13"/>
        <v>Social Media</v>
      </c>
    </row>
    <row r="399" spans="1:12" x14ac:dyDescent="0.3">
      <c r="A399" t="s">
        <v>357</v>
      </c>
      <c r="B399" s="1">
        <v>45804.136805555558</v>
      </c>
      <c r="C399" s="1">
        <v>45806.611805555556</v>
      </c>
      <c r="D399" t="s">
        <v>32</v>
      </c>
      <c r="E399" t="s">
        <v>12</v>
      </c>
      <c r="F399" t="s">
        <v>19</v>
      </c>
      <c r="G399" t="s">
        <v>29</v>
      </c>
      <c r="H399" t="s">
        <v>20</v>
      </c>
      <c r="I399">
        <v>59.4</v>
      </c>
      <c r="K399" t="str">
        <f t="shared" si="12"/>
        <v>Technical Issue</v>
      </c>
      <c r="L399" t="str">
        <f t="shared" si="13"/>
        <v>Email</v>
      </c>
    </row>
    <row r="400" spans="1:12" x14ac:dyDescent="0.3">
      <c r="A400" t="s">
        <v>309</v>
      </c>
      <c r="B400" s="1">
        <v>45742.308333333334</v>
      </c>
      <c r="C400" s="1">
        <v>45744.8125</v>
      </c>
      <c r="D400" t="s">
        <v>28</v>
      </c>
      <c r="E400" t="s">
        <v>26</v>
      </c>
      <c r="F400" t="s">
        <v>23</v>
      </c>
      <c r="G400" t="s">
        <v>29</v>
      </c>
      <c r="H400" t="s">
        <v>41</v>
      </c>
      <c r="I400">
        <v>60.1</v>
      </c>
      <c r="K400" t="str">
        <f t="shared" si="12"/>
        <v>Account</v>
      </c>
      <c r="L400" t="str">
        <f t="shared" si="13"/>
        <v>Phone</v>
      </c>
    </row>
    <row r="401" spans="1:12" x14ac:dyDescent="0.3">
      <c r="A401" t="s">
        <v>530</v>
      </c>
      <c r="B401" s="1">
        <v>45687.237500000003</v>
      </c>
      <c r="C401" s="1">
        <v>45689.79583333333</v>
      </c>
      <c r="D401" t="s">
        <v>47</v>
      </c>
      <c r="E401" t="s">
        <v>22</v>
      </c>
      <c r="F401" t="s">
        <v>13</v>
      </c>
      <c r="G401" t="s">
        <v>29</v>
      </c>
      <c r="H401" t="s">
        <v>24</v>
      </c>
      <c r="I401">
        <v>61.4</v>
      </c>
      <c r="K401" t="str">
        <f t="shared" si="12"/>
        <v>Product Information</v>
      </c>
      <c r="L401" t="str">
        <f t="shared" si="13"/>
        <v>Social Media</v>
      </c>
    </row>
    <row r="402" spans="1:12" x14ac:dyDescent="0.3">
      <c r="A402" t="s">
        <v>508</v>
      </c>
      <c r="B402" s="1">
        <v>45749.587500000001</v>
      </c>
      <c r="C402" s="1">
        <v>45752.195833333331</v>
      </c>
      <c r="D402" t="s">
        <v>11</v>
      </c>
      <c r="E402" t="s">
        <v>18</v>
      </c>
      <c r="F402" t="s">
        <v>19</v>
      </c>
      <c r="G402" t="s">
        <v>29</v>
      </c>
      <c r="H402" t="s">
        <v>20</v>
      </c>
      <c r="I402">
        <v>62.6</v>
      </c>
      <c r="K402" t="str">
        <f t="shared" si="12"/>
        <v>Refund</v>
      </c>
      <c r="L402" t="str">
        <f t="shared" si="13"/>
        <v>Chat</v>
      </c>
    </row>
    <row r="403" spans="1:12" x14ac:dyDescent="0.3">
      <c r="A403" t="s">
        <v>298</v>
      </c>
      <c r="B403" s="1">
        <v>45728.065972222219</v>
      </c>
      <c r="C403" s="1">
        <v>45730.707638888889</v>
      </c>
      <c r="D403" t="s">
        <v>36</v>
      </c>
      <c r="E403" t="s">
        <v>22</v>
      </c>
      <c r="F403" t="s">
        <v>19</v>
      </c>
      <c r="G403" t="s">
        <v>29</v>
      </c>
      <c r="H403" t="s">
        <v>39</v>
      </c>
      <c r="I403">
        <v>63.4</v>
      </c>
      <c r="K403" t="str">
        <f t="shared" si="12"/>
        <v>Payment</v>
      </c>
      <c r="L403" t="str">
        <f t="shared" si="13"/>
        <v>Social Media</v>
      </c>
    </row>
    <row r="404" spans="1:12" x14ac:dyDescent="0.3">
      <c r="A404" t="s">
        <v>254</v>
      </c>
      <c r="B404" s="1">
        <v>45670.396527777775</v>
      </c>
      <c r="C404" s="1">
        <v>45673.046527777777</v>
      </c>
      <c r="D404" t="s">
        <v>11</v>
      </c>
      <c r="E404" t="s">
        <v>22</v>
      </c>
      <c r="F404" t="s">
        <v>23</v>
      </c>
      <c r="G404" t="s">
        <v>29</v>
      </c>
      <c r="H404" t="s">
        <v>39</v>
      </c>
      <c r="I404">
        <v>63.6</v>
      </c>
      <c r="K404" t="str">
        <f t="shared" si="12"/>
        <v>Refund</v>
      </c>
      <c r="L404" t="str">
        <f t="shared" si="13"/>
        <v>Social Media</v>
      </c>
    </row>
    <row r="405" spans="1:12" x14ac:dyDescent="0.3">
      <c r="A405" t="s">
        <v>259</v>
      </c>
      <c r="B405" s="1">
        <v>45790.589583333334</v>
      </c>
      <c r="C405" s="1">
        <v>45793.272916666669</v>
      </c>
      <c r="D405" t="s">
        <v>36</v>
      </c>
      <c r="E405" t="s">
        <v>26</v>
      </c>
      <c r="F405" t="s">
        <v>23</v>
      </c>
      <c r="G405" t="s">
        <v>29</v>
      </c>
      <c r="H405" t="s">
        <v>37</v>
      </c>
      <c r="I405">
        <v>64.400000000000006</v>
      </c>
      <c r="K405" t="str">
        <f t="shared" si="12"/>
        <v>Payment</v>
      </c>
      <c r="L405" t="str">
        <f t="shared" si="13"/>
        <v>Phone</v>
      </c>
    </row>
    <row r="406" spans="1:12" x14ac:dyDescent="0.3">
      <c r="A406" t="s">
        <v>329</v>
      </c>
      <c r="B406" s="1">
        <v>45757.115277777775</v>
      </c>
      <c r="C406" s="1">
        <v>45759.831944444442</v>
      </c>
      <c r="D406" t="s">
        <v>36</v>
      </c>
      <c r="E406" t="s">
        <v>18</v>
      </c>
      <c r="F406" t="s">
        <v>19</v>
      </c>
      <c r="G406" t="s">
        <v>29</v>
      </c>
      <c r="H406" t="s">
        <v>37</v>
      </c>
      <c r="I406">
        <v>65.2</v>
      </c>
      <c r="K406" t="str">
        <f t="shared" si="12"/>
        <v>Payment</v>
      </c>
      <c r="L406" t="str">
        <f t="shared" si="13"/>
        <v>Chat</v>
      </c>
    </row>
    <row r="407" spans="1:12" x14ac:dyDescent="0.3">
      <c r="A407" t="s">
        <v>313</v>
      </c>
      <c r="B407" s="1">
        <v>45673.819444444445</v>
      </c>
      <c r="C407" s="1">
        <v>45676.561111111114</v>
      </c>
      <c r="D407" t="s">
        <v>11</v>
      </c>
      <c r="E407" t="s">
        <v>22</v>
      </c>
      <c r="F407" t="s">
        <v>13</v>
      </c>
      <c r="G407" t="s">
        <v>29</v>
      </c>
      <c r="H407" t="s">
        <v>39</v>
      </c>
      <c r="I407">
        <v>65.8</v>
      </c>
      <c r="K407" t="str">
        <f t="shared" si="12"/>
        <v>Refund</v>
      </c>
      <c r="L407" t="str">
        <f t="shared" si="13"/>
        <v>Social Media</v>
      </c>
    </row>
    <row r="408" spans="1:12" x14ac:dyDescent="0.3">
      <c r="A408" t="s">
        <v>517</v>
      </c>
      <c r="B408" s="1">
        <v>45772.331250000003</v>
      </c>
      <c r="C408" s="1">
        <v>45775.089583333334</v>
      </c>
      <c r="D408" t="s">
        <v>36</v>
      </c>
      <c r="E408" t="s">
        <v>12</v>
      </c>
      <c r="F408" t="s">
        <v>23</v>
      </c>
      <c r="G408" t="s">
        <v>29</v>
      </c>
      <c r="H408" t="s">
        <v>15</v>
      </c>
      <c r="I408">
        <v>66.2</v>
      </c>
      <c r="K408" t="str">
        <f t="shared" si="12"/>
        <v>Payment</v>
      </c>
      <c r="L408" t="str">
        <f t="shared" si="13"/>
        <v>Email</v>
      </c>
    </row>
    <row r="409" spans="1:12" x14ac:dyDescent="0.3">
      <c r="A409" t="s">
        <v>128</v>
      </c>
      <c r="B409" s="1">
        <v>45736.824305555558</v>
      </c>
      <c r="C409" s="1">
        <v>45739.59097222222</v>
      </c>
      <c r="D409" t="s">
        <v>28</v>
      </c>
      <c r="E409" t="s">
        <v>12</v>
      </c>
      <c r="F409" t="s">
        <v>19</v>
      </c>
      <c r="G409" t="s">
        <v>29</v>
      </c>
      <c r="H409" t="s">
        <v>24</v>
      </c>
      <c r="I409">
        <v>66.400000000000006</v>
      </c>
      <c r="K409" t="str">
        <f t="shared" si="12"/>
        <v>Account</v>
      </c>
      <c r="L409" t="str">
        <f t="shared" si="13"/>
        <v>Email</v>
      </c>
    </row>
    <row r="410" spans="1:12" x14ac:dyDescent="0.3">
      <c r="A410" t="s">
        <v>95</v>
      </c>
      <c r="B410" s="1">
        <v>45710.558333333334</v>
      </c>
      <c r="C410" s="1">
        <v>45713.395833333336</v>
      </c>
      <c r="D410" t="s">
        <v>17</v>
      </c>
      <c r="E410" t="s">
        <v>22</v>
      </c>
      <c r="F410" t="s">
        <v>19</v>
      </c>
      <c r="G410" t="s">
        <v>29</v>
      </c>
      <c r="H410" t="s">
        <v>39</v>
      </c>
      <c r="I410">
        <v>68.099999999999994</v>
      </c>
      <c r="K410" t="str">
        <f t="shared" si="12"/>
        <v>Delivery</v>
      </c>
      <c r="L410" t="str">
        <f t="shared" si="13"/>
        <v>Social Media</v>
      </c>
    </row>
    <row r="411" spans="1:12" x14ac:dyDescent="0.3">
      <c r="A411" t="s">
        <v>263</v>
      </c>
      <c r="B411" s="1">
        <v>45832.293055555558</v>
      </c>
      <c r="C411" s="1">
        <v>45835.138888888891</v>
      </c>
      <c r="D411" t="s">
        <v>17</v>
      </c>
      <c r="E411" t="s">
        <v>18</v>
      </c>
      <c r="F411" t="s">
        <v>13</v>
      </c>
      <c r="G411" t="s">
        <v>29</v>
      </c>
      <c r="H411" t="s">
        <v>41</v>
      </c>
      <c r="I411">
        <v>68.3</v>
      </c>
      <c r="K411" t="str">
        <f t="shared" si="12"/>
        <v>Delivery</v>
      </c>
      <c r="L411" t="str">
        <f t="shared" si="13"/>
        <v>Chat</v>
      </c>
    </row>
    <row r="412" spans="1:12" x14ac:dyDescent="0.3">
      <c r="A412" t="s">
        <v>103</v>
      </c>
      <c r="B412" s="1">
        <v>45752.234722222223</v>
      </c>
      <c r="C412" s="1">
        <v>45755.126388888886</v>
      </c>
      <c r="D412" t="s">
        <v>11</v>
      </c>
      <c r="E412" t="s">
        <v>12</v>
      </c>
      <c r="F412" t="s">
        <v>33</v>
      </c>
      <c r="G412" t="s">
        <v>29</v>
      </c>
      <c r="H412" t="s">
        <v>24</v>
      </c>
      <c r="I412">
        <v>69.400000000000006</v>
      </c>
      <c r="K412" t="str">
        <f t="shared" si="12"/>
        <v>Refund</v>
      </c>
      <c r="L412" t="str">
        <f t="shared" si="13"/>
        <v>Email</v>
      </c>
    </row>
    <row r="413" spans="1:12" x14ac:dyDescent="0.3">
      <c r="A413" t="s">
        <v>116</v>
      </c>
      <c r="B413" s="1">
        <v>45781.365277777775</v>
      </c>
      <c r="C413" s="1">
        <v>45784.294444444444</v>
      </c>
      <c r="D413" t="s">
        <v>47</v>
      </c>
      <c r="E413" t="s">
        <v>26</v>
      </c>
      <c r="F413" t="s">
        <v>13</v>
      </c>
      <c r="G413" t="s">
        <v>29</v>
      </c>
      <c r="H413" t="s">
        <v>20</v>
      </c>
      <c r="I413">
        <v>70.3</v>
      </c>
      <c r="K413" t="str">
        <f t="shared" si="12"/>
        <v>Product Information</v>
      </c>
      <c r="L413" t="str">
        <f t="shared" si="13"/>
        <v>Phone</v>
      </c>
    </row>
    <row r="414" spans="1:12" x14ac:dyDescent="0.3">
      <c r="A414" t="s">
        <v>90</v>
      </c>
      <c r="B414" s="1">
        <v>45692.612500000003</v>
      </c>
      <c r="C414" s="1">
        <v>45695.574999999997</v>
      </c>
      <c r="D414" t="s">
        <v>47</v>
      </c>
      <c r="E414" t="s">
        <v>26</v>
      </c>
      <c r="F414" t="s">
        <v>19</v>
      </c>
      <c r="G414" t="s">
        <v>29</v>
      </c>
      <c r="H414" t="s">
        <v>15</v>
      </c>
      <c r="I414">
        <v>71.099999999999994</v>
      </c>
      <c r="K414" t="str">
        <f t="shared" si="12"/>
        <v>Product Information</v>
      </c>
      <c r="L414" t="str">
        <f t="shared" si="13"/>
        <v>Phone</v>
      </c>
    </row>
    <row r="415" spans="1:12" x14ac:dyDescent="0.3">
      <c r="A415" t="s">
        <v>311</v>
      </c>
      <c r="B415" s="1">
        <v>45797.632638888892</v>
      </c>
      <c r="C415" s="1">
        <v>45800.603472222225</v>
      </c>
      <c r="D415" t="s">
        <v>17</v>
      </c>
      <c r="E415" t="s">
        <v>12</v>
      </c>
      <c r="F415" t="s">
        <v>13</v>
      </c>
      <c r="G415" t="s">
        <v>29</v>
      </c>
      <c r="H415" t="s">
        <v>39</v>
      </c>
      <c r="I415">
        <v>71.3</v>
      </c>
      <c r="K415" t="str">
        <f t="shared" si="12"/>
        <v>Delivery</v>
      </c>
      <c r="L415" t="str">
        <f t="shared" si="13"/>
        <v>Email</v>
      </c>
    </row>
    <row r="416" spans="1:12" x14ac:dyDescent="0.3">
      <c r="A416" t="s">
        <v>413</v>
      </c>
      <c r="B416" s="1">
        <v>45793.492361111108</v>
      </c>
      <c r="C416" s="1">
        <v>45796.492361111108</v>
      </c>
      <c r="D416" t="s">
        <v>36</v>
      </c>
      <c r="E416" t="s">
        <v>12</v>
      </c>
      <c r="F416" t="s">
        <v>33</v>
      </c>
      <c r="G416" t="s">
        <v>29</v>
      </c>
      <c r="H416" t="s">
        <v>20</v>
      </c>
      <c r="I416">
        <v>72</v>
      </c>
      <c r="K416" t="str">
        <f t="shared" si="12"/>
        <v>Payment</v>
      </c>
      <c r="L416" t="str">
        <f t="shared" si="13"/>
        <v>Email</v>
      </c>
    </row>
    <row r="417" spans="1:12" x14ac:dyDescent="0.3">
      <c r="A417" t="s">
        <v>58</v>
      </c>
      <c r="B417" s="1">
        <v>45795.588888888888</v>
      </c>
      <c r="D417" t="s">
        <v>36</v>
      </c>
      <c r="E417" t="s">
        <v>26</v>
      </c>
      <c r="F417" t="s">
        <v>19</v>
      </c>
      <c r="G417" t="s">
        <v>59</v>
      </c>
      <c r="H417" t="s">
        <v>20</v>
      </c>
      <c r="K417" t="str">
        <f t="shared" si="12"/>
        <v>Payment</v>
      </c>
      <c r="L417" t="str">
        <f t="shared" si="13"/>
        <v>Phone</v>
      </c>
    </row>
    <row r="418" spans="1:12" x14ac:dyDescent="0.3">
      <c r="A418" t="s">
        <v>61</v>
      </c>
      <c r="B418" s="1">
        <v>45700.563194444447</v>
      </c>
      <c r="D418" t="s">
        <v>36</v>
      </c>
      <c r="E418" t="s">
        <v>22</v>
      </c>
      <c r="F418" t="s">
        <v>13</v>
      </c>
      <c r="G418" t="s">
        <v>59</v>
      </c>
      <c r="H418" t="s">
        <v>37</v>
      </c>
      <c r="K418" t="str">
        <f t="shared" si="12"/>
        <v>Payment</v>
      </c>
      <c r="L418" t="str">
        <f t="shared" si="13"/>
        <v>Social Media</v>
      </c>
    </row>
    <row r="419" spans="1:12" x14ac:dyDescent="0.3">
      <c r="A419" t="s">
        <v>88</v>
      </c>
      <c r="B419" s="1">
        <v>45836.521527777775</v>
      </c>
      <c r="D419" t="s">
        <v>36</v>
      </c>
      <c r="E419" t="s">
        <v>18</v>
      </c>
      <c r="F419" t="s">
        <v>13</v>
      </c>
      <c r="G419" t="s">
        <v>59</v>
      </c>
      <c r="H419" t="s">
        <v>34</v>
      </c>
      <c r="K419" t="str">
        <f t="shared" si="12"/>
        <v>Payment</v>
      </c>
      <c r="L419" t="str">
        <f t="shared" si="13"/>
        <v>Chat</v>
      </c>
    </row>
    <row r="420" spans="1:12" x14ac:dyDescent="0.3">
      <c r="A420" t="s">
        <v>94</v>
      </c>
      <c r="B420" s="1">
        <v>45712.101388888892</v>
      </c>
      <c r="D420" t="s">
        <v>32</v>
      </c>
      <c r="E420" t="s">
        <v>22</v>
      </c>
      <c r="F420" t="s">
        <v>19</v>
      </c>
      <c r="G420" t="s">
        <v>59</v>
      </c>
      <c r="H420" t="s">
        <v>39</v>
      </c>
      <c r="K420" t="str">
        <f t="shared" si="12"/>
        <v>Technical Issue</v>
      </c>
      <c r="L420" t="str">
        <f t="shared" si="13"/>
        <v>Social Media</v>
      </c>
    </row>
    <row r="421" spans="1:12" x14ac:dyDescent="0.3">
      <c r="A421" t="s">
        <v>96</v>
      </c>
      <c r="B421" s="1">
        <v>45748.408333333333</v>
      </c>
      <c r="D421" t="s">
        <v>28</v>
      </c>
      <c r="E421" t="s">
        <v>18</v>
      </c>
      <c r="F421" t="s">
        <v>19</v>
      </c>
      <c r="G421" t="s">
        <v>59</v>
      </c>
      <c r="H421" t="s">
        <v>20</v>
      </c>
      <c r="K421" t="str">
        <f t="shared" si="12"/>
        <v>Account</v>
      </c>
      <c r="L421" t="str">
        <f t="shared" si="13"/>
        <v>Chat</v>
      </c>
    </row>
    <row r="422" spans="1:12" x14ac:dyDescent="0.3">
      <c r="A422" t="s">
        <v>98</v>
      </c>
      <c r="B422" s="1">
        <v>45817.709027777775</v>
      </c>
      <c r="D422" t="s">
        <v>47</v>
      </c>
      <c r="E422" t="s">
        <v>12</v>
      </c>
      <c r="F422" t="s">
        <v>13</v>
      </c>
      <c r="G422" t="s">
        <v>59</v>
      </c>
      <c r="H422" t="s">
        <v>15</v>
      </c>
      <c r="K422" t="str">
        <f t="shared" si="12"/>
        <v>Product Information</v>
      </c>
      <c r="L422" t="str">
        <f t="shared" si="13"/>
        <v>Email</v>
      </c>
    </row>
    <row r="423" spans="1:12" x14ac:dyDescent="0.3">
      <c r="A423" t="s">
        <v>100</v>
      </c>
      <c r="B423" s="1">
        <v>45755.366666666669</v>
      </c>
      <c r="D423" t="s">
        <v>32</v>
      </c>
      <c r="E423" t="s">
        <v>12</v>
      </c>
      <c r="F423" t="s">
        <v>19</v>
      </c>
      <c r="G423" t="s">
        <v>59</v>
      </c>
      <c r="H423" t="s">
        <v>39</v>
      </c>
      <c r="K423" t="str">
        <f t="shared" si="12"/>
        <v>Technical Issue</v>
      </c>
      <c r="L423" t="str">
        <f t="shared" si="13"/>
        <v>Email</v>
      </c>
    </row>
    <row r="424" spans="1:12" x14ac:dyDescent="0.3">
      <c r="A424" t="s">
        <v>107</v>
      </c>
      <c r="B424" s="1">
        <v>45768.486111111109</v>
      </c>
      <c r="D424" t="s">
        <v>11</v>
      </c>
      <c r="E424" t="s">
        <v>18</v>
      </c>
      <c r="F424" t="s">
        <v>19</v>
      </c>
      <c r="G424" t="s">
        <v>59</v>
      </c>
      <c r="H424" t="s">
        <v>37</v>
      </c>
      <c r="K424" t="str">
        <f t="shared" si="12"/>
        <v>Refund</v>
      </c>
      <c r="L424" t="str">
        <f t="shared" si="13"/>
        <v>Chat</v>
      </c>
    </row>
    <row r="425" spans="1:12" x14ac:dyDescent="0.3">
      <c r="A425" t="s">
        <v>110</v>
      </c>
      <c r="B425" s="1">
        <v>45803.820833333331</v>
      </c>
      <c r="D425" t="s">
        <v>32</v>
      </c>
      <c r="E425" t="s">
        <v>12</v>
      </c>
      <c r="F425" t="s">
        <v>19</v>
      </c>
      <c r="G425" t="s">
        <v>59</v>
      </c>
      <c r="H425" t="s">
        <v>30</v>
      </c>
      <c r="K425" t="str">
        <f t="shared" si="12"/>
        <v>Technical Issue</v>
      </c>
      <c r="L425" t="str">
        <f t="shared" si="13"/>
        <v>Email</v>
      </c>
    </row>
    <row r="426" spans="1:12" x14ac:dyDescent="0.3">
      <c r="A426" t="s">
        <v>112</v>
      </c>
      <c r="B426" s="1">
        <v>45679.323611111111</v>
      </c>
      <c r="D426" t="s">
        <v>28</v>
      </c>
      <c r="E426" t="s">
        <v>18</v>
      </c>
      <c r="F426" t="s">
        <v>19</v>
      </c>
      <c r="G426" t="s">
        <v>59</v>
      </c>
      <c r="H426" t="s">
        <v>41</v>
      </c>
      <c r="K426" t="str">
        <f t="shared" si="12"/>
        <v>Account</v>
      </c>
      <c r="L426" t="str">
        <f t="shared" si="13"/>
        <v>Chat</v>
      </c>
    </row>
    <row r="427" spans="1:12" x14ac:dyDescent="0.3">
      <c r="A427" t="s">
        <v>125</v>
      </c>
      <c r="B427" s="1">
        <v>45773.943055555559</v>
      </c>
      <c r="D427" t="s">
        <v>32</v>
      </c>
      <c r="E427" t="s">
        <v>12</v>
      </c>
      <c r="F427" t="s">
        <v>33</v>
      </c>
      <c r="G427" t="s">
        <v>59</v>
      </c>
      <c r="H427" t="s">
        <v>24</v>
      </c>
      <c r="K427" t="str">
        <f t="shared" si="12"/>
        <v>Technical Issue</v>
      </c>
      <c r="L427" t="str">
        <f t="shared" si="13"/>
        <v>Email</v>
      </c>
    </row>
    <row r="428" spans="1:12" x14ac:dyDescent="0.3">
      <c r="A428" t="s">
        <v>126</v>
      </c>
      <c r="B428" s="1">
        <v>45730.954861111109</v>
      </c>
      <c r="D428" t="s">
        <v>17</v>
      </c>
      <c r="E428" t="s">
        <v>18</v>
      </c>
      <c r="F428" t="s">
        <v>23</v>
      </c>
      <c r="G428" t="s">
        <v>59</v>
      </c>
      <c r="H428" t="s">
        <v>20</v>
      </c>
      <c r="K428" t="str">
        <f t="shared" si="12"/>
        <v>Delivery</v>
      </c>
      <c r="L428" t="str">
        <f t="shared" si="13"/>
        <v>Chat</v>
      </c>
    </row>
    <row r="429" spans="1:12" x14ac:dyDescent="0.3">
      <c r="A429" t="s">
        <v>131</v>
      </c>
      <c r="B429" s="1">
        <v>45702.647916666669</v>
      </c>
      <c r="D429" t="s">
        <v>32</v>
      </c>
      <c r="E429" t="s">
        <v>18</v>
      </c>
      <c r="F429" t="s">
        <v>19</v>
      </c>
      <c r="G429" t="s">
        <v>59</v>
      </c>
      <c r="H429" t="s">
        <v>41</v>
      </c>
      <c r="K429" t="str">
        <f t="shared" si="12"/>
        <v>Technical Issue</v>
      </c>
      <c r="L429" t="str">
        <f t="shared" si="13"/>
        <v>Chat</v>
      </c>
    </row>
    <row r="430" spans="1:12" x14ac:dyDescent="0.3">
      <c r="A430" t="s">
        <v>132</v>
      </c>
      <c r="B430" s="1">
        <v>45681.640277777777</v>
      </c>
      <c r="D430" t="s">
        <v>32</v>
      </c>
      <c r="E430" t="s">
        <v>26</v>
      </c>
      <c r="F430" t="s">
        <v>13</v>
      </c>
      <c r="G430" t="s">
        <v>59</v>
      </c>
      <c r="H430" t="s">
        <v>37</v>
      </c>
      <c r="K430" t="str">
        <f t="shared" si="12"/>
        <v>Technical Issue</v>
      </c>
      <c r="L430" t="str">
        <f t="shared" si="13"/>
        <v>Phone</v>
      </c>
    </row>
    <row r="431" spans="1:12" x14ac:dyDescent="0.3">
      <c r="A431" t="s">
        <v>133</v>
      </c>
      <c r="B431" s="1">
        <v>45742.572222222225</v>
      </c>
      <c r="D431" t="s">
        <v>32</v>
      </c>
      <c r="E431" t="s">
        <v>22</v>
      </c>
      <c r="F431" t="s">
        <v>13</v>
      </c>
      <c r="G431" t="s">
        <v>59</v>
      </c>
      <c r="H431" t="s">
        <v>41</v>
      </c>
      <c r="K431" t="str">
        <f t="shared" si="12"/>
        <v>Technical Issue</v>
      </c>
      <c r="L431" t="str">
        <f t="shared" si="13"/>
        <v>Social Media</v>
      </c>
    </row>
    <row r="432" spans="1:12" x14ac:dyDescent="0.3">
      <c r="A432" t="s">
        <v>139</v>
      </c>
      <c r="B432" s="1">
        <v>45774.714583333334</v>
      </c>
      <c r="D432" t="s">
        <v>36</v>
      </c>
      <c r="E432" t="s">
        <v>18</v>
      </c>
      <c r="F432" t="s">
        <v>13</v>
      </c>
      <c r="G432" t="s">
        <v>59</v>
      </c>
      <c r="H432" t="s">
        <v>24</v>
      </c>
      <c r="K432" t="str">
        <f t="shared" si="12"/>
        <v>Payment</v>
      </c>
      <c r="L432" t="str">
        <f t="shared" si="13"/>
        <v>Chat</v>
      </c>
    </row>
    <row r="433" spans="1:12" x14ac:dyDescent="0.3">
      <c r="A433" t="s">
        <v>141</v>
      </c>
      <c r="B433" s="1">
        <v>45696.606944444444</v>
      </c>
      <c r="D433" t="s">
        <v>32</v>
      </c>
      <c r="E433" t="s">
        <v>26</v>
      </c>
      <c r="F433" t="s">
        <v>19</v>
      </c>
      <c r="G433" t="s">
        <v>59</v>
      </c>
      <c r="H433" t="s">
        <v>41</v>
      </c>
      <c r="K433" t="str">
        <f t="shared" si="12"/>
        <v>Technical Issue</v>
      </c>
      <c r="L433" t="str">
        <f t="shared" si="13"/>
        <v>Phone</v>
      </c>
    </row>
    <row r="434" spans="1:12" x14ac:dyDescent="0.3">
      <c r="A434" t="s">
        <v>144</v>
      </c>
      <c r="B434" s="1">
        <v>45683.706944444442</v>
      </c>
      <c r="D434" t="s">
        <v>17</v>
      </c>
      <c r="E434" t="s">
        <v>18</v>
      </c>
      <c r="F434" t="s">
        <v>19</v>
      </c>
      <c r="G434" t="s">
        <v>59</v>
      </c>
      <c r="H434" t="s">
        <v>37</v>
      </c>
      <c r="K434" t="str">
        <f t="shared" si="12"/>
        <v>Delivery</v>
      </c>
      <c r="L434" t="str">
        <f t="shared" si="13"/>
        <v>Chat</v>
      </c>
    </row>
    <row r="435" spans="1:12" x14ac:dyDescent="0.3">
      <c r="A435" t="s">
        <v>146</v>
      </c>
      <c r="B435" s="1">
        <v>45739.864583333336</v>
      </c>
      <c r="D435" t="s">
        <v>47</v>
      </c>
      <c r="E435" t="s">
        <v>12</v>
      </c>
      <c r="F435" t="s">
        <v>13</v>
      </c>
      <c r="G435" t="s">
        <v>59</v>
      </c>
      <c r="H435" t="s">
        <v>20</v>
      </c>
      <c r="K435" t="str">
        <f t="shared" si="12"/>
        <v>Product Information</v>
      </c>
      <c r="L435" t="str">
        <f t="shared" si="13"/>
        <v>Email</v>
      </c>
    </row>
    <row r="436" spans="1:12" x14ac:dyDescent="0.3">
      <c r="A436" t="s">
        <v>149</v>
      </c>
      <c r="B436" s="1">
        <v>45695.314583333333</v>
      </c>
      <c r="D436" t="s">
        <v>47</v>
      </c>
      <c r="E436" t="s">
        <v>18</v>
      </c>
      <c r="F436" t="s">
        <v>33</v>
      </c>
      <c r="G436" t="s">
        <v>59</v>
      </c>
      <c r="H436" t="s">
        <v>37</v>
      </c>
      <c r="K436" t="str">
        <f t="shared" si="12"/>
        <v>Product Information</v>
      </c>
      <c r="L436" t="str">
        <f t="shared" si="13"/>
        <v>Chat</v>
      </c>
    </row>
    <row r="437" spans="1:12" x14ac:dyDescent="0.3">
      <c r="A437" t="s">
        <v>150</v>
      </c>
      <c r="B437" s="1">
        <v>45678.829861111109</v>
      </c>
      <c r="D437" t="s">
        <v>47</v>
      </c>
      <c r="E437" t="s">
        <v>18</v>
      </c>
      <c r="F437" t="s">
        <v>19</v>
      </c>
      <c r="G437" t="s">
        <v>59</v>
      </c>
      <c r="H437" t="s">
        <v>37</v>
      </c>
      <c r="K437" t="str">
        <f t="shared" si="12"/>
        <v>Product Information</v>
      </c>
      <c r="L437" t="str">
        <f t="shared" si="13"/>
        <v>Chat</v>
      </c>
    </row>
    <row r="438" spans="1:12" x14ac:dyDescent="0.3">
      <c r="A438" t="s">
        <v>153</v>
      </c>
      <c r="B438" s="1">
        <v>45708.537499999999</v>
      </c>
      <c r="D438" t="s">
        <v>17</v>
      </c>
      <c r="E438" t="s">
        <v>18</v>
      </c>
      <c r="F438" t="s">
        <v>19</v>
      </c>
      <c r="G438" t="s">
        <v>59</v>
      </c>
      <c r="H438" t="s">
        <v>30</v>
      </c>
      <c r="K438" t="str">
        <f t="shared" si="12"/>
        <v>Delivery</v>
      </c>
      <c r="L438" t="str">
        <f t="shared" si="13"/>
        <v>Chat</v>
      </c>
    </row>
    <row r="439" spans="1:12" x14ac:dyDescent="0.3">
      <c r="A439" t="s">
        <v>157</v>
      </c>
      <c r="B439" s="1">
        <v>45733.449305555558</v>
      </c>
      <c r="D439" t="s">
        <v>36</v>
      </c>
      <c r="E439" t="s">
        <v>18</v>
      </c>
      <c r="F439" t="s">
        <v>33</v>
      </c>
      <c r="G439" t="s">
        <v>59</v>
      </c>
      <c r="H439" t="s">
        <v>30</v>
      </c>
      <c r="K439" t="str">
        <f t="shared" si="12"/>
        <v>Payment</v>
      </c>
      <c r="L439" t="str">
        <f t="shared" si="13"/>
        <v>Chat</v>
      </c>
    </row>
    <row r="440" spans="1:12" x14ac:dyDescent="0.3">
      <c r="A440" t="s">
        <v>162</v>
      </c>
      <c r="B440" s="1">
        <v>45837.40347222222</v>
      </c>
      <c r="D440" t="s">
        <v>17</v>
      </c>
      <c r="E440" t="s">
        <v>18</v>
      </c>
      <c r="F440" t="s">
        <v>13</v>
      </c>
      <c r="G440" t="s">
        <v>59</v>
      </c>
      <c r="H440" t="s">
        <v>39</v>
      </c>
      <c r="K440" t="str">
        <f t="shared" si="12"/>
        <v>Delivery</v>
      </c>
      <c r="L440" t="str">
        <f t="shared" si="13"/>
        <v>Chat</v>
      </c>
    </row>
    <row r="441" spans="1:12" x14ac:dyDescent="0.3">
      <c r="A441" t="s">
        <v>171</v>
      </c>
      <c r="B441" s="1">
        <v>45725.047222222223</v>
      </c>
      <c r="D441" t="s">
        <v>47</v>
      </c>
      <c r="E441" t="s">
        <v>12</v>
      </c>
      <c r="F441" t="s">
        <v>13</v>
      </c>
      <c r="G441" t="s">
        <v>59</v>
      </c>
      <c r="H441" t="s">
        <v>41</v>
      </c>
      <c r="K441" t="str">
        <f t="shared" si="12"/>
        <v>Product Information</v>
      </c>
      <c r="L441" t="str">
        <f t="shared" si="13"/>
        <v>Email</v>
      </c>
    </row>
    <row r="442" spans="1:12" x14ac:dyDescent="0.3">
      <c r="A442" t="s">
        <v>175</v>
      </c>
      <c r="B442" s="1">
        <v>45810.679166666669</v>
      </c>
      <c r="D442" t="s">
        <v>47</v>
      </c>
      <c r="E442" t="s">
        <v>22</v>
      </c>
      <c r="F442" t="s">
        <v>13</v>
      </c>
      <c r="G442" t="s">
        <v>59</v>
      </c>
      <c r="H442" t="s">
        <v>34</v>
      </c>
      <c r="K442" t="str">
        <f t="shared" si="12"/>
        <v>Product Information</v>
      </c>
      <c r="L442" t="str">
        <f t="shared" si="13"/>
        <v>Social Media</v>
      </c>
    </row>
    <row r="443" spans="1:12" x14ac:dyDescent="0.3">
      <c r="A443" t="s">
        <v>177</v>
      </c>
      <c r="B443" s="1">
        <v>45763.452777777777</v>
      </c>
      <c r="D443" t="s">
        <v>28</v>
      </c>
      <c r="E443" t="s">
        <v>22</v>
      </c>
      <c r="F443" t="s">
        <v>13</v>
      </c>
      <c r="G443" t="s">
        <v>59</v>
      </c>
      <c r="H443" t="s">
        <v>30</v>
      </c>
      <c r="K443" t="str">
        <f t="shared" si="12"/>
        <v>Account</v>
      </c>
      <c r="L443" t="str">
        <f t="shared" si="13"/>
        <v>Social Media</v>
      </c>
    </row>
    <row r="444" spans="1:12" x14ac:dyDescent="0.3">
      <c r="A444" t="s">
        <v>180</v>
      </c>
      <c r="B444" s="1">
        <v>45763.496527777781</v>
      </c>
      <c r="D444" t="s">
        <v>11</v>
      </c>
      <c r="E444" t="s">
        <v>12</v>
      </c>
      <c r="F444" t="s">
        <v>23</v>
      </c>
      <c r="G444" t="s">
        <v>59</v>
      </c>
      <c r="H444" t="s">
        <v>24</v>
      </c>
      <c r="K444" t="str">
        <f t="shared" si="12"/>
        <v>Refund</v>
      </c>
      <c r="L444" t="str">
        <f t="shared" si="13"/>
        <v>Email</v>
      </c>
    </row>
    <row r="445" spans="1:12" x14ac:dyDescent="0.3">
      <c r="A445" t="s">
        <v>190</v>
      </c>
      <c r="B445" s="1">
        <v>45741.125</v>
      </c>
      <c r="D445" t="s">
        <v>11</v>
      </c>
      <c r="E445" t="s">
        <v>22</v>
      </c>
      <c r="F445" t="s">
        <v>33</v>
      </c>
      <c r="G445" t="s">
        <v>59</v>
      </c>
      <c r="H445" t="s">
        <v>37</v>
      </c>
      <c r="K445" t="str">
        <f t="shared" si="12"/>
        <v>Refund</v>
      </c>
      <c r="L445" t="str">
        <f t="shared" si="13"/>
        <v>Social Media</v>
      </c>
    </row>
    <row r="446" spans="1:12" x14ac:dyDescent="0.3">
      <c r="A446" t="s">
        <v>198</v>
      </c>
      <c r="B446" s="1">
        <v>45770.104166666664</v>
      </c>
      <c r="D446" t="s">
        <v>11</v>
      </c>
      <c r="E446" t="s">
        <v>26</v>
      </c>
      <c r="F446" t="s">
        <v>23</v>
      </c>
      <c r="G446" t="s">
        <v>59</v>
      </c>
      <c r="H446" t="s">
        <v>39</v>
      </c>
      <c r="K446" t="str">
        <f t="shared" si="12"/>
        <v>Refund</v>
      </c>
      <c r="L446" t="str">
        <f t="shared" si="13"/>
        <v>Phone</v>
      </c>
    </row>
    <row r="447" spans="1:12" x14ac:dyDescent="0.3">
      <c r="A447" t="s">
        <v>204</v>
      </c>
      <c r="B447" s="1">
        <v>45682.738194444442</v>
      </c>
      <c r="D447" t="s">
        <v>32</v>
      </c>
      <c r="E447" t="s">
        <v>26</v>
      </c>
      <c r="F447" t="s">
        <v>33</v>
      </c>
      <c r="G447" t="s">
        <v>59</v>
      </c>
      <c r="H447" t="s">
        <v>30</v>
      </c>
      <c r="K447" t="str">
        <f t="shared" si="12"/>
        <v>Technical Issue</v>
      </c>
      <c r="L447" t="str">
        <f t="shared" si="13"/>
        <v>Phone</v>
      </c>
    </row>
    <row r="448" spans="1:12" x14ac:dyDescent="0.3">
      <c r="A448" t="s">
        <v>228</v>
      </c>
      <c r="B448" s="1">
        <v>45760.977777777778</v>
      </c>
      <c r="D448" t="s">
        <v>32</v>
      </c>
      <c r="E448" t="s">
        <v>18</v>
      </c>
      <c r="F448" t="s">
        <v>19</v>
      </c>
      <c r="G448" t="s">
        <v>59</v>
      </c>
      <c r="H448" t="s">
        <v>41</v>
      </c>
      <c r="K448" t="str">
        <f t="shared" si="12"/>
        <v>Technical Issue</v>
      </c>
      <c r="L448" t="str">
        <f t="shared" si="13"/>
        <v>Chat</v>
      </c>
    </row>
    <row r="449" spans="1:12" x14ac:dyDescent="0.3">
      <c r="A449" t="s">
        <v>237</v>
      </c>
      <c r="B449" s="1">
        <v>45773.247916666667</v>
      </c>
      <c r="D449" t="s">
        <v>17</v>
      </c>
      <c r="E449" t="s">
        <v>26</v>
      </c>
      <c r="F449" t="s">
        <v>23</v>
      </c>
      <c r="G449" t="s">
        <v>59</v>
      </c>
      <c r="H449" t="s">
        <v>34</v>
      </c>
      <c r="K449" t="str">
        <f t="shared" si="12"/>
        <v>Delivery</v>
      </c>
      <c r="L449" t="str">
        <f t="shared" si="13"/>
        <v>Phone</v>
      </c>
    </row>
    <row r="450" spans="1:12" x14ac:dyDescent="0.3">
      <c r="A450" t="s">
        <v>239</v>
      </c>
      <c r="B450" s="1">
        <v>45693.326388888891</v>
      </c>
      <c r="D450" t="s">
        <v>17</v>
      </c>
      <c r="E450" t="s">
        <v>26</v>
      </c>
      <c r="F450" t="s">
        <v>23</v>
      </c>
      <c r="G450" t="s">
        <v>59</v>
      </c>
      <c r="H450" t="s">
        <v>41</v>
      </c>
      <c r="K450" t="str">
        <f t="shared" ref="K450:K501" si="14">TRIM(D450)</f>
        <v>Delivery</v>
      </c>
      <c r="L450" t="str">
        <f t="shared" ref="L450:L501" si="15">TRIM(E450)</f>
        <v>Phone</v>
      </c>
    </row>
    <row r="451" spans="1:12" x14ac:dyDescent="0.3">
      <c r="A451" t="s">
        <v>248</v>
      </c>
      <c r="B451" s="1">
        <v>45698.601388888892</v>
      </c>
      <c r="D451" t="s">
        <v>28</v>
      </c>
      <c r="E451" t="s">
        <v>18</v>
      </c>
      <c r="F451" t="s">
        <v>23</v>
      </c>
      <c r="G451" t="s">
        <v>59</v>
      </c>
      <c r="H451" t="s">
        <v>37</v>
      </c>
      <c r="K451" t="str">
        <f t="shared" si="14"/>
        <v>Account</v>
      </c>
      <c r="L451" t="str">
        <f t="shared" si="15"/>
        <v>Chat</v>
      </c>
    </row>
    <row r="452" spans="1:12" x14ac:dyDescent="0.3">
      <c r="A452" t="s">
        <v>250</v>
      </c>
      <c r="B452" s="1">
        <v>45777.136805555558</v>
      </c>
      <c r="D452" t="s">
        <v>36</v>
      </c>
      <c r="E452" t="s">
        <v>18</v>
      </c>
      <c r="F452" t="s">
        <v>13</v>
      </c>
      <c r="G452" t="s">
        <v>59</v>
      </c>
      <c r="H452" t="s">
        <v>39</v>
      </c>
      <c r="K452" t="str">
        <f t="shared" si="14"/>
        <v>Payment</v>
      </c>
      <c r="L452" t="str">
        <f t="shared" si="15"/>
        <v>Chat</v>
      </c>
    </row>
    <row r="453" spans="1:12" x14ac:dyDescent="0.3">
      <c r="A453" t="s">
        <v>252</v>
      </c>
      <c r="B453" s="1">
        <v>45698.647222222222</v>
      </c>
      <c r="D453" t="s">
        <v>28</v>
      </c>
      <c r="E453" t="s">
        <v>26</v>
      </c>
      <c r="F453" t="s">
        <v>19</v>
      </c>
      <c r="G453" t="s">
        <v>59</v>
      </c>
      <c r="H453" t="s">
        <v>39</v>
      </c>
      <c r="K453" t="str">
        <f t="shared" si="14"/>
        <v>Account</v>
      </c>
      <c r="L453" t="str">
        <f t="shared" si="15"/>
        <v>Phone</v>
      </c>
    </row>
    <row r="454" spans="1:12" x14ac:dyDescent="0.3">
      <c r="A454" t="s">
        <v>253</v>
      </c>
      <c r="B454" s="1">
        <v>45681.522222222222</v>
      </c>
      <c r="D454" t="s">
        <v>36</v>
      </c>
      <c r="E454" t="s">
        <v>18</v>
      </c>
      <c r="F454" t="s">
        <v>23</v>
      </c>
      <c r="G454" t="s">
        <v>59</v>
      </c>
      <c r="H454" t="s">
        <v>39</v>
      </c>
      <c r="K454" t="str">
        <f t="shared" si="14"/>
        <v>Payment</v>
      </c>
      <c r="L454" t="str">
        <f t="shared" si="15"/>
        <v>Chat</v>
      </c>
    </row>
    <row r="455" spans="1:12" x14ac:dyDescent="0.3">
      <c r="A455" t="s">
        <v>264</v>
      </c>
      <c r="B455" s="1">
        <v>45738.54791666667</v>
      </c>
      <c r="D455" t="s">
        <v>11</v>
      </c>
      <c r="E455" t="s">
        <v>18</v>
      </c>
      <c r="F455" t="s">
        <v>19</v>
      </c>
      <c r="G455" t="s">
        <v>59</v>
      </c>
      <c r="H455" t="s">
        <v>41</v>
      </c>
      <c r="K455" t="str">
        <f t="shared" si="14"/>
        <v>Refund</v>
      </c>
      <c r="L455" t="str">
        <f t="shared" si="15"/>
        <v>Chat</v>
      </c>
    </row>
    <row r="456" spans="1:12" x14ac:dyDescent="0.3">
      <c r="A456" t="s">
        <v>273</v>
      </c>
      <c r="B456" s="1">
        <v>45763.447916666664</v>
      </c>
      <c r="D456" t="s">
        <v>17</v>
      </c>
      <c r="E456" t="s">
        <v>18</v>
      </c>
      <c r="F456" t="s">
        <v>13</v>
      </c>
      <c r="G456" t="s">
        <v>59</v>
      </c>
      <c r="H456" t="s">
        <v>37</v>
      </c>
      <c r="K456" t="str">
        <f t="shared" si="14"/>
        <v>Delivery</v>
      </c>
      <c r="L456" t="str">
        <f t="shared" si="15"/>
        <v>Chat</v>
      </c>
    </row>
    <row r="457" spans="1:12" x14ac:dyDescent="0.3">
      <c r="A457" t="s">
        <v>274</v>
      </c>
      <c r="B457" s="1">
        <v>45762.874305555553</v>
      </c>
      <c r="D457" t="s">
        <v>28</v>
      </c>
      <c r="E457" t="s">
        <v>18</v>
      </c>
      <c r="F457" t="s">
        <v>23</v>
      </c>
      <c r="G457" t="s">
        <v>59</v>
      </c>
      <c r="H457" t="s">
        <v>30</v>
      </c>
      <c r="K457" t="str">
        <f t="shared" si="14"/>
        <v>Account</v>
      </c>
      <c r="L457" t="str">
        <f t="shared" si="15"/>
        <v>Chat</v>
      </c>
    </row>
    <row r="458" spans="1:12" x14ac:dyDescent="0.3">
      <c r="A458" t="s">
        <v>276</v>
      </c>
      <c r="B458" s="1">
        <v>45703.078472222223</v>
      </c>
      <c r="D458" t="s">
        <v>28</v>
      </c>
      <c r="E458" t="s">
        <v>18</v>
      </c>
      <c r="F458" t="s">
        <v>23</v>
      </c>
      <c r="G458" t="s">
        <v>59</v>
      </c>
      <c r="H458" t="s">
        <v>39</v>
      </c>
      <c r="K458" t="str">
        <f t="shared" si="14"/>
        <v>Account</v>
      </c>
      <c r="L458" t="str">
        <f t="shared" si="15"/>
        <v>Chat</v>
      </c>
    </row>
    <row r="459" spans="1:12" x14ac:dyDescent="0.3">
      <c r="A459" t="s">
        <v>281</v>
      </c>
      <c r="B459" s="1">
        <v>45721.011111111111</v>
      </c>
      <c r="D459" t="s">
        <v>36</v>
      </c>
      <c r="E459" t="s">
        <v>22</v>
      </c>
      <c r="F459" t="s">
        <v>23</v>
      </c>
      <c r="G459" t="s">
        <v>59</v>
      </c>
      <c r="H459" t="s">
        <v>30</v>
      </c>
      <c r="K459" t="str">
        <f t="shared" si="14"/>
        <v>Payment</v>
      </c>
      <c r="L459" t="str">
        <f t="shared" si="15"/>
        <v>Social Media</v>
      </c>
    </row>
    <row r="460" spans="1:12" x14ac:dyDescent="0.3">
      <c r="A460" t="s">
        <v>285</v>
      </c>
      <c r="B460" s="1">
        <v>45837.748611111114</v>
      </c>
      <c r="D460" t="s">
        <v>47</v>
      </c>
      <c r="E460" t="s">
        <v>18</v>
      </c>
      <c r="F460" t="s">
        <v>33</v>
      </c>
      <c r="G460" t="s">
        <v>59</v>
      </c>
      <c r="H460" t="s">
        <v>34</v>
      </c>
      <c r="K460" t="str">
        <f t="shared" si="14"/>
        <v>Product Information</v>
      </c>
      <c r="L460" t="str">
        <f t="shared" si="15"/>
        <v>Chat</v>
      </c>
    </row>
    <row r="461" spans="1:12" x14ac:dyDescent="0.3">
      <c r="A461" t="s">
        <v>299</v>
      </c>
      <c r="B461" s="1">
        <v>45746.862500000003</v>
      </c>
      <c r="D461" t="s">
        <v>47</v>
      </c>
      <c r="E461" t="s">
        <v>26</v>
      </c>
      <c r="F461" t="s">
        <v>19</v>
      </c>
      <c r="G461" t="s">
        <v>59</v>
      </c>
      <c r="H461" t="s">
        <v>15</v>
      </c>
      <c r="K461" t="str">
        <f t="shared" si="14"/>
        <v>Product Information</v>
      </c>
      <c r="L461" t="str">
        <f t="shared" si="15"/>
        <v>Phone</v>
      </c>
    </row>
    <row r="462" spans="1:12" x14ac:dyDescent="0.3">
      <c r="A462" t="s">
        <v>301</v>
      </c>
      <c r="B462" s="1">
        <v>45776.065972222219</v>
      </c>
      <c r="D462" t="s">
        <v>28</v>
      </c>
      <c r="E462" t="s">
        <v>18</v>
      </c>
      <c r="F462" t="s">
        <v>19</v>
      </c>
      <c r="G462" t="s">
        <v>59</v>
      </c>
      <c r="H462" t="s">
        <v>20</v>
      </c>
      <c r="K462" t="str">
        <f t="shared" si="14"/>
        <v>Account</v>
      </c>
      <c r="L462" t="str">
        <f t="shared" si="15"/>
        <v>Chat</v>
      </c>
    </row>
    <row r="463" spans="1:12" x14ac:dyDescent="0.3">
      <c r="A463" t="s">
        <v>310</v>
      </c>
      <c r="B463" s="1">
        <v>45822.979861111111</v>
      </c>
      <c r="D463" t="s">
        <v>36</v>
      </c>
      <c r="E463" t="s">
        <v>26</v>
      </c>
      <c r="F463" t="s">
        <v>33</v>
      </c>
      <c r="G463" t="s">
        <v>59</v>
      </c>
      <c r="H463" t="s">
        <v>37</v>
      </c>
      <c r="K463" t="str">
        <f t="shared" si="14"/>
        <v>Payment</v>
      </c>
      <c r="L463" t="str">
        <f t="shared" si="15"/>
        <v>Phone</v>
      </c>
    </row>
    <row r="464" spans="1:12" x14ac:dyDescent="0.3">
      <c r="A464" t="s">
        <v>316</v>
      </c>
      <c r="B464" s="1">
        <v>45759.099305555559</v>
      </c>
      <c r="D464" t="s">
        <v>28</v>
      </c>
      <c r="E464" t="s">
        <v>18</v>
      </c>
      <c r="F464" t="s">
        <v>33</v>
      </c>
      <c r="G464" t="s">
        <v>59</v>
      </c>
      <c r="H464" t="s">
        <v>24</v>
      </c>
      <c r="K464" t="str">
        <f t="shared" si="14"/>
        <v>Account</v>
      </c>
      <c r="L464" t="str">
        <f t="shared" si="15"/>
        <v>Chat</v>
      </c>
    </row>
    <row r="465" spans="1:12" x14ac:dyDescent="0.3">
      <c r="A465" t="s">
        <v>318</v>
      </c>
      <c r="B465" s="1">
        <v>45837.211805555555</v>
      </c>
      <c r="D465" t="s">
        <v>28</v>
      </c>
      <c r="E465" t="s">
        <v>26</v>
      </c>
      <c r="F465" t="s">
        <v>13</v>
      </c>
      <c r="G465" t="s">
        <v>59</v>
      </c>
      <c r="H465" t="s">
        <v>39</v>
      </c>
      <c r="K465" t="str">
        <f t="shared" si="14"/>
        <v>Account</v>
      </c>
      <c r="L465" t="str">
        <f t="shared" si="15"/>
        <v>Phone</v>
      </c>
    </row>
    <row r="466" spans="1:12" x14ac:dyDescent="0.3">
      <c r="A466" t="s">
        <v>323</v>
      </c>
      <c r="B466" s="1">
        <v>45820.368055555555</v>
      </c>
      <c r="D466" t="s">
        <v>28</v>
      </c>
      <c r="E466" t="s">
        <v>18</v>
      </c>
      <c r="F466" t="s">
        <v>23</v>
      </c>
      <c r="G466" t="s">
        <v>59</v>
      </c>
      <c r="H466" t="s">
        <v>15</v>
      </c>
      <c r="K466" t="str">
        <f t="shared" si="14"/>
        <v>Account</v>
      </c>
      <c r="L466" t="str">
        <f t="shared" si="15"/>
        <v>Chat</v>
      </c>
    </row>
    <row r="467" spans="1:12" x14ac:dyDescent="0.3">
      <c r="A467" t="s">
        <v>325</v>
      </c>
      <c r="B467" s="1">
        <v>45679.339583333334</v>
      </c>
      <c r="D467" t="s">
        <v>11</v>
      </c>
      <c r="E467" t="s">
        <v>18</v>
      </c>
      <c r="F467" t="s">
        <v>19</v>
      </c>
      <c r="G467" t="s">
        <v>59</v>
      </c>
      <c r="H467" t="s">
        <v>30</v>
      </c>
      <c r="K467" t="str">
        <f t="shared" si="14"/>
        <v>Refund</v>
      </c>
      <c r="L467" t="str">
        <f t="shared" si="15"/>
        <v>Chat</v>
      </c>
    </row>
    <row r="468" spans="1:12" x14ac:dyDescent="0.3">
      <c r="A468" t="s">
        <v>327</v>
      </c>
      <c r="B468" s="1">
        <v>45680.227083333331</v>
      </c>
      <c r="D468" t="s">
        <v>47</v>
      </c>
      <c r="E468" t="s">
        <v>22</v>
      </c>
      <c r="F468" t="s">
        <v>13</v>
      </c>
      <c r="G468" t="s">
        <v>59</v>
      </c>
      <c r="H468" t="s">
        <v>39</v>
      </c>
      <c r="K468" t="str">
        <f t="shared" si="14"/>
        <v>Product Information</v>
      </c>
      <c r="L468" t="str">
        <f t="shared" si="15"/>
        <v>Social Media</v>
      </c>
    </row>
    <row r="469" spans="1:12" x14ac:dyDescent="0.3">
      <c r="A469" t="s">
        <v>338</v>
      </c>
      <c r="B469" s="1">
        <v>45794.707638888889</v>
      </c>
      <c r="D469" t="s">
        <v>47</v>
      </c>
      <c r="E469" t="s">
        <v>12</v>
      </c>
      <c r="F469" t="s">
        <v>23</v>
      </c>
      <c r="G469" t="s">
        <v>59</v>
      </c>
      <c r="H469" t="s">
        <v>34</v>
      </c>
      <c r="K469" t="str">
        <f t="shared" si="14"/>
        <v>Product Information</v>
      </c>
      <c r="L469" t="str">
        <f t="shared" si="15"/>
        <v>Email</v>
      </c>
    </row>
    <row r="470" spans="1:12" x14ac:dyDescent="0.3">
      <c r="A470" t="s">
        <v>346</v>
      </c>
      <c r="B470" s="1">
        <v>45705.862500000003</v>
      </c>
      <c r="D470" t="s">
        <v>28</v>
      </c>
      <c r="E470" t="s">
        <v>12</v>
      </c>
      <c r="F470" t="s">
        <v>33</v>
      </c>
      <c r="G470" t="s">
        <v>59</v>
      </c>
      <c r="H470" t="s">
        <v>41</v>
      </c>
      <c r="K470" t="str">
        <f t="shared" si="14"/>
        <v>Account</v>
      </c>
      <c r="L470" t="str">
        <f t="shared" si="15"/>
        <v>Email</v>
      </c>
    </row>
    <row r="471" spans="1:12" x14ac:dyDescent="0.3">
      <c r="A471" t="s">
        <v>348</v>
      </c>
      <c r="B471" s="1">
        <v>45751.425000000003</v>
      </c>
      <c r="D471" t="s">
        <v>17</v>
      </c>
      <c r="E471" t="s">
        <v>26</v>
      </c>
      <c r="F471" t="s">
        <v>19</v>
      </c>
      <c r="G471" t="s">
        <v>59</v>
      </c>
      <c r="H471" t="s">
        <v>30</v>
      </c>
      <c r="K471" t="str">
        <f t="shared" si="14"/>
        <v>Delivery</v>
      </c>
      <c r="L471" t="str">
        <f t="shared" si="15"/>
        <v>Phone</v>
      </c>
    </row>
    <row r="472" spans="1:12" x14ac:dyDescent="0.3">
      <c r="A472" t="s">
        <v>349</v>
      </c>
      <c r="B472" s="1">
        <v>45810.527083333334</v>
      </c>
      <c r="D472" t="s">
        <v>47</v>
      </c>
      <c r="E472" t="s">
        <v>12</v>
      </c>
      <c r="F472" t="s">
        <v>23</v>
      </c>
      <c r="G472" t="s">
        <v>59</v>
      </c>
      <c r="H472" t="s">
        <v>30</v>
      </c>
      <c r="K472" t="str">
        <f t="shared" si="14"/>
        <v>Product Information</v>
      </c>
      <c r="L472" t="str">
        <f t="shared" si="15"/>
        <v>Email</v>
      </c>
    </row>
    <row r="473" spans="1:12" x14ac:dyDescent="0.3">
      <c r="A473" t="s">
        <v>354</v>
      </c>
      <c r="B473" s="1">
        <v>45692.286111111112</v>
      </c>
      <c r="D473" t="s">
        <v>47</v>
      </c>
      <c r="E473" t="s">
        <v>22</v>
      </c>
      <c r="F473" t="s">
        <v>19</v>
      </c>
      <c r="G473" t="s">
        <v>59</v>
      </c>
      <c r="H473" t="s">
        <v>41</v>
      </c>
      <c r="K473" t="str">
        <f t="shared" si="14"/>
        <v>Product Information</v>
      </c>
      <c r="L473" t="str">
        <f t="shared" si="15"/>
        <v>Social Media</v>
      </c>
    </row>
    <row r="474" spans="1:12" x14ac:dyDescent="0.3">
      <c r="A474" t="s">
        <v>355</v>
      </c>
      <c r="B474" s="1">
        <v>45764.953472222223</v>
      </c>
      <c r="D474" t="s">
        <v>28</v>
      </c>
      <c r="E474" t="s">
        <v>18</v>
      </c>
      <c r="F474" t="s">
        <v>13</v>
      </c>
      <c r="G474" t="s">
        <v>59</v>
      </c>
      <c r="H474" t="s">
        <v>39</v>
      </c>
      <c r="K474" t="str">
        <f t="shared" si="14"/>
        <v>Account</v>
      </c>
      <c r="L474" t="str">
        <f t="shared" si="15"/>
        <v>Chat</v>
      </c>
    </row>
    <row r="475" spans="1:12" x14ac:dyDescent="0.3">
      <c r="A475" t="s">
        <v>387</v>
      </c>
      <c r="B475" s="1">
        <v>45788.460416666669</v>
      </c>
      <c r="D475" t="s">
        <v>47</v>
      </c>
      <c r="E475" t="s">
        <v>18</v>
      </c>
      <c r="F475" t="s">
        <v>23</v>
      </c>
      <c r="G475" t="s">
        <v>59</v>
      </c>
      <c r="H475" t="s">
        <v>37</v>
      </c>
      <c r="K475" t="str">
        <f t="shared" si="14"/>
        <v>Product Information</v>
      </c>
      <c r="L475" t="str">
        <f t="shared" si="15"/>
        <v>Chat</v>
      </c>
    </row>
    <row r="476" spans="1:12" x14ac:dyDescent="0.3">
      <c r="A476" t="s">
        <v>389</v>
      </c>
      <c r="B476" s="1">
        <v>45661.293055555558</v>
      </c>
      <c r="D476" t="s">
        <v>32</v>
      </c>
      <c r="E476" t="s">
        <v>22</v>
      </c>
      <c r="F476" t="s">
        <v>33</v>
      </c>
      <c r="G476" t="s">
        <v>59</v>
      </c>
      <c r="H476" t="s">
        <v>37</v>
      </c>
      <c r="K476" t="str">
        <f t="shared" si="14"/>
        <v>Technical Issue</v>
      </c>
      <c r="L476" t="str">
        <f t="shared" si="15"/>
        <v>Social Media</v>
      </c>
    </row>
    <row r="477" spans="1:12" x14ac:dyDescent="0.3">
      <c r="A477" t="s">
        <v>390</v>
      </c>
      <c r="B477" s="1">
        <v>45667.743750000001</v>
      </c>
      <c r="D477" t="s">
        <v>36</v>
      </c>
      <c r="E477" t="s">
        <v>26</v>
      </c>
      <c r="F477" t="s">
        <v>33</v>
      </c>
      <c r="G477" t="s">
        <v>59</v>
      </c>
      <c r="H477" t="s">
        <v>15</v>
      </c>
      <c r="K477" t="str">
        <f t="shared" si="14"/>
        <v>Payment</v>
      </c>
      <c r="L477" t="str">
        <f t="shared" si="15"/>
        <v>Phone</v>
      </c>
    </row>
    <row r="478" spans="1:12" x14ac:dyDescent="0.3">
      <c r="A478" t="s">
        <v>401</v>
      </c>
      <c r="B478" s="1">
        <v>45711.59652777778</v>
      </c>
      <c r="D478" t="s">
        <v>32</v>
      </c>
      <c r="E478" t="s">
        <v>12</v>
      </c>
      <c r="F478" t="s">
        <v>13</v>
      </c>
      <c r="G478" t="s">
        <v>59</v>
      </c>
      <c r="H478" t="s">
        <v>37</v>
      </c>
      <c r="K478" t="str">
        <f t="shared" si="14"/>
        <v>Technical Issue</v>
      </c>
      <c r="L478" t="str">
        <f t="shared" si="15"/>
        <v>Email</v>
      </c>
    </row>
    <row r="479" spans="1:12" x14ac:dyDescent="0.3">
      <c r="A479" t="s">
        <v>405</v>
      </c>
      <c r="B479" s="1">
        <v>45714.175000000003</v>
      </c>
      <c r="D479" t="s">
        <v>32</v>
      </c>
      <c r="E479" t="s">
        <v>12</v>
      </c>
      <c r="F479" t="s">
        <v>23</v>
      </c>
      <c r="G479" t="s">
        <v>59</v>
      </c>
      <c r="H479" t="s">
        <v>34</v>
      </c>
      <c r="K479" t="str">
        <f t="shared" si="14"/>
        <v>Technical Issue</v>
      </c>
      <c r="L479" t="str">
        <f t="shared" si="15"/>
        <v>Email</v>
      </c>
    </row>
    <row r="480" spans="1:12" x14ac:dyDescent="0.3">
      <c r="A480" t="s">
        <v>406</v>
      </c>
      <c r="B480" s="1">
        <v>45663.091666666667</v>
      </c>
      <c r="D480" t="s">
        <v>36</v>
      </c>
      <c r="E480" t="s">
        <v>12</v>
      </c>
      <c r="F480" t="s">
        <v>23</v>
      </c>
      <c r="G480" t="s">
        <v>59</v>
      </c>
      <c r="H480" t="s">
        <v>34</v>
      </c>
      <c r="K480" t="str">
        <f t="shared" si="14"/>
        <v>Payment</v>
      </c>
      <c r="L480" t="str">
        <f t="shared" si="15"/>
        <v>Email</v>
      </c>
    </row>
    <row r="481" spans="1:12" x14ac:dyDescent="0.3">
      <c r="A481" t="s">
        <v>410</v>
      </c>
      <c r="B481" s="1">
        <v>45673.095138888886</v>
      </c>
      <c r="D481" t="s">
        <v>36</v>
      </c>
      <c r="E481" t="s">
        <v>22</v>
      </c>
      <c r="F481" t="s">
        <v>33</v>
      </c>
      <c r="G481" t="s">
        <v>59</v>
      </c>
      <c r="H481" t="s">
        <v>20</v>
      </c>
      <c r="K481" t="str">
        <f t="shared" si="14"/>
        <v>Payment</v>
      </c>
      <c r="L481" t="str">
        <f t="shared" si="15"/>
        <v>Social Media</v>
      </c>
    </row>
    <row r="482" spans="1:12" x14ac:dyDescent="0.3">
      <c r="A482" t="s">
        <v>416</v>
      </c>
      <c r="B482" s="1">
        <v>45802.286805555559</v>
      </c>
      <c r="D482" t="s">
        <v>47</v>
      </c>
      <c r="E482" t="s">
        <v>26</v>
      </c>
      <c r="F482" t="s">
        <v>33</v>
      </c>
      <c r="G482" t="s">
        <v>59</v>
      </c>
      <c r="H482" t="s">
        <v>41</v>
      </c>
      <c r="K482" t="str">
        <f t="shared" si="14"/>
        <v>Product Information</v>
      </c>
      <c r="L482" t="str">
        <f t="shared" si="15"/>
        <v>Phone</v>
      </c>
    </row>
    <row r="483" spans="1:12" x14ac:dyDescent="0.3">
      <c r="A483" t="s">
        <v>429</v>
      </c>
      <c r="B483" s="1">
        <v>45810.831250000003</v>
      </c>
      <c r="D483" t="s">
        <v>11</v>
      </c>
      <c r="E483" t="s">
        <v>12</v>
      </c>
      <c r="F483" t="s">
        <v>19</v>
      </c>
      <c r="G483" t="s">
        <v>59</v>
      </c>
      <c r="H483" t="s">
        <v>37</v>
      </c>
      <c r="K483" t="str">
        <f t="shared" si="14"/>
        <v>Refund</v>
      </c>
      <c r="L483" t="str">
        <f t="shared" si="15"/>
        <v>Email</v>
      </c>
    </row>
    <row r="484" spans="1:12" x14ac:dyDescent="0.3">
      <c r="A484" t="s">
        <v>437</v>
      </c>
      <c r="B484" s="1">
        <v>45791.56527777778</v>
      </c>
      <c r="D484" t="s">
        <v>47</v>
      </c>
      <c r="E484" t="s">
        <v>18</v>
      </c>
      <c r="F484" t="s">
        <v>19</v>
      </c>
      <c r="G484" t="s">
        <v>59</v>
      </c>
      <c r="H484" t="s">
        <v>24</v>
      </c>
      <c r="K484" t="str">
        <f t="shared" si="14"/>
        <v>Product Information</v>
      </c>
      <c r="L484" t="str">
        <f t="shared" si="15"/>
        <v>Chat</v>
      </c>
    </row>
    <row r="485" spans="1:12" x14ac:dyDescent="0.3">
      <c r="A485" t="s">
        <v>443</v>
      </c>
      <c r="B485" s="1">
        <v>45795.49722222222</v>
      </c>
      <c r="D485" t="s">
        <v>32</v>
      </c>
      <c r="E485" t="s">
        <v>22</v>
      </c>
      <c r="F485" t="s">
        <v>19</v>
      </c>
      <c r="G485" t="s">
        <v>59</v>
      </c>
      <c r="H485" t="s">
        <v>41</v>
      </c>
      <c r="K485" t="str">
        <f t="shared" si="14"/>
        <v>Technical Issue</v>
      </c>
      <c r="L485" t="str">
        <f t="shared" si="15"/>
        <v>Social Media</v>
      </c>
    </row>
    <row r="486" spans="1:12" x14ac:dyDescent="0.3">
      <c r="A486" t="s">
        <v>444</v>
      </c>
      <c r="B486" s="1">
        <v>45667.220138888886</v>
      </c>
      <c r="D486" t="s">
        <v>36</v>
      </c>
      <c r="E486" t="s">
        <v>22</v>
      </c>
      <c r="F486" t="s">
        <v>13</v>
      </c>
      <c r="G486" t="s">
        <v>59</v>
      </c>
      <c r="H486" t="s">
        <v>15</v>
      </c>
      <c r="K486" t="str">
        <f t="shared" si="14"/>
        <v>Payment</v>
      </c>
      <c r="L486" t="str">
        <f t="shared" si="15"/>
        <v>Social Media</v>
      </c>
    </row>
    <row r="487" spans="1:12" x14ac:dyDescent="0.3">
      <c r="A487" t="s">
        <v>446</v>
      </c>
      <c r="B487" s="1">
        <v>45737.370138888888</v>
      </c>
      <c r="D487" t="s">
        <v>11</v>
      </c>
      <c r="E487" t="s">
        <v>12</v>
      </c>
      <c r="F487" t="s">
        <v>33</v>
      </c>
      <c r="G487" t="s">
        <v>59</v>
      </c>
      <c r="H487" t="s">
        <v>37</v>
      </c>
      <c r="K487" t="str">
        <f t="shared" si="14"/>
        <v>Refund</v>
      </c>
      <c r="L487" t="str">
        <f t="shared" si="15"/>
        <v>Email</v>
      </c>
    </row>
    <row r="488" spans="1:12" x14ac:dyDescent="0.3">
      <c r="A488" t="s">
        <v>448</v>
      </c>
      <c r="B488" s="1">
        <v>45712.574305555558</v>
      </c>
      <c r="D488" t="s">
        <v>47</v>
      </c>
      <c r="E488" t="s">
        <v>26</v>
      </c>
      <c r="F488" t="s">
        <v>13</v>
      </c>
      <c r="G488" t="s">
        <v>59</v>
      </c>
      <c r="H488" t="s">
        <v>37</v>
      </c>
      <c r="K488" t="str">
        <f t="shared" si="14"/>
        <v>Product Information</v>
      </c>
      <c r="L488" t="str">
        <f t="shared" si="15"/>
        <v>Phone</v>
      </c>
    </row>
    <row r="489" spans="1:12" x14ac:dyDescent="0.3">
      <c r="A489" t="s">
        <v>461</v>
      </c>
      <c r="B489" s="1">
        <v>45714.898611111108</v>
      </c>
      <c r="D489" t="s">
        <v>11</v>
      </c>
      <c r="E489" t="s">
        <v>26</v>
      </c>
      <c r="F489" t="s">
        <v>23</v>
      </c>
      <c r="G489" t="s">
        <v>59</v>
      </c>
      <c r="H489" t="s">
        <v>37</v>
      </c>
      <c r="K489" t="str">
        <f t="shared" si="14"/>
        <v>Refund</v>
      </c>
      <c r="L489" t="str">
        <f t="shared" si="15"/>
        <v>Phone</v>
      </c>
    </row>
    <row r="490" spans="1:12" x14ac:dyDescent="0.3">
      <c r="A490" t="s">
        <v>465</v>
      </c>
      <c r="B490" s="1">
        <v>45786.163194444445</v>
      </c>
      <c r="D490" t="s">
        <v>47</v>
      </c>
      <c r="E490" t="s">
        <v>26</v>
      </c>
      <c r="F490" t="s">
        <v>19</v>
      </c>
      <c r="G490" t="s">
        <v>59</v>
      </c>
      <c r="H490" t="s">
        <v>39</v>
      </c>
      <c r="K490" t="str">
        <f t="shared" si="14"/>
        <v>Product Information</v>
      </c>
      <c r="L490" t="str">
        <f t="shared" si="15"/>
        <v>Phone</v>
      </c>
    </row>
    <row r="491" spans="1:12" x14ac:dyDescent="0.3">
      <c r="A491" t="s">
        <v>473</v>
      </c>
      <c r="B491" s="1">
        <v>45749.256944444445</v>
      </c>
      <c r="D491" t="s">
        <v>17</v>
      </c>
      <c r="E491" t="s">
        <v>18</v>
      </c>
      <c r="F491" t="s">
        <v>33</v>
      </c>
      <c r="G491" t="s">
        <v>59</v>
      </c>
      <c r="H491" t="s">
        <v>37</v>
      </c>
      <c r="K491" t="str">
        <f t="shared" si="14"/>
        <v>Delivery</v>
      </c>
      <c r="L491" t="str">
        <f t="shared" si="15"/>
        <v>Chat</v>
      </c>
    </row>
    <row r="492" spans="1:12" x14ac:dyDescent="0.3">
      <c r="A492" t="s">
        <v>476</v>
      </c>
      <c r="B492" s="1">
        <v>45670.921527777777</v>
      </c>
      <c r="D492" t="s">
        <v>28</v>
      </c>
      <c r="E492" t="s">
        <v>22</v>
      </c>
      <c r="F492" t="s">
        <v>13</v>
      </c>
      <c r="G492" t="s">
        <v>59</v>
      </c>
      <c r="H492" t="s">
        <v>24</v>
      </c>
      <c r="K492" t="str">
        <f t="shared" si="14"/>
        <v>Account</v>
      </c>
      <c r="L492" t="str">
        <f t="shared" si="15"/>
        <v>Social Media</v>
      </c>
    </row>
    <row r="493" spans="1:12" x14ac:dyDescent="0.3">
      <c r="A493" t="s">
        <v>486</v>
      </c>
      <c r="B493" s="1">
        <v>45834.660416666666</v>
      </c>
      <c r="D493" t="s">
        <v>11</v>
      </c>
      <c r="E493" t="s">
        <v>18</v>
      </c>
      <c r="F493" t="s">
        <v>13</v>
      </c>
      <c r="G493" t="s">
        <v>59</v>
      </c>
      <c r="H493" t="s">
        <v>37</v>
      </c>
      <c r="K493" t="str">
        <f t="shared" si="14"/>
        <v>Refund</v>
      </c>
      <c r="L493" t="str">
        <f t="shared" si="15"/>
        <v>Chat</v>
      </c>
    </row>
    <row r="494" spans="1:12" x14ac:dyDescent="0.3">
      <c r="A494" t="s">
        <v>491</v>
      </c>
      <c r="B494" s="1">
        <v>45787.662499999999</v>
      </c>
      <c r="D494" t="s">
        <v>36</v>
      </c>
      <c r="E494" t="s">
        <v>12</v>
      </c>
      <c r="F494" t="s">
        <v>19</v>
      </c>
      <c r="G494" t="s">
        <v>59</v>
      </c>
      <c r="H494" t="s">
        <v>30</v>
      </c>
      <c r="K494" t="str">
        <f t="shared" si="14"/>
        <v>Payment</v>
      </c>
      <c r="L494" t="str">
        <f t="shared" si="15"/>
        <v>Email</v>
      </c>
    </row>
    <row r="495" spans="1:12" x14ac:dyDescent="0.3">
      <c r="A495" t="s">
        <v>495</v>
      </c>
      <c r="B495" s="1">
        <v>45788.717361111114</v>
      </c>
      <c r="D495" t="s">
        <v>32</v>
      </c>
      <c r="E495" t="s">
        <v>26</v>
      </c>
      <c r="F495" t="s">
        <v>13</v>
      </c>
      <c r="G495" t="s">
        <v>59</v>
      </c>
      <c r="H495" t="s">
        <v>20</v>
      </c>
      <c r="K495" t="str">
        <f t="shared" si="14"/>
        <v>Technical Issue</v>
      </c>
      <c r="L495" t="str">
        <f t="shared" si="15"/>
        <v>Phone</v>
      </c>
    </row>
    <row r="496" spans="1:12" x14ac:dyDescent="0.3">
      <c r="A496" t="s">
        <v>498</v>
      </c>
      <c r="B496" s="1">
        <v>45700.630555555559</v>
      </c>
      <c r="D496" t="s">
        <v>17</v>
      </c>
      <c r="E496" t="s">
        <v>26</v>
      </c>
      <c r="F496" t="s">
        <v>33</v>
      </c>
      <c r="G496" t="s">
        <v>59</v>
      </c>
      <c r="H496" t="s">
        <v>20</v>
      </c>
      <c r="K496" t="str">
        <f t="shared" si="14"/>
        <v>Delivery</v>
      </c>
      <c r="L496" t="str">
        <f t="shared" si="15"/>
        <v>Phone</v>
      </c>
    </row>
    <row r="497" spans="1:12" x14ac:dyDescent="0.3">
      <c r="A497" t="s">
        <v>499</v>
      </c>
      <c r="B497" s="1">
        <v>45688.509027777778</v>
      </c>
      <c r="D497" t="s">
        <v>36</v>
      </c>
      <c r="E497" t="s">
        <v>26</v>
      </c>
      <c r="F497" t="s">
        <v>13</v>
      </c>
      <c r="G497" t="s">
        <v>59</v>
      </c>
      <c r="H497" t="s">
        <v>15</v>
      </c>
      <c r="K497" t="str">
        <f t="shared" si="14"/>
        <v>Payment</v>
      </c>
      <c r="L497" t="str">
        <f t="shared" si="15"/>
        <v>Phone</v>
      </c>
    </row>
    <row r="498" spans="1:12" x14ac:dyDescent="0.3">
      <c r="A498" t="s">
        <v>510</v>
      </c>
      <c r="B498" s="1">
        <v>45722.277083333334</v>
      </c>
      <c r="D498" t="s">
        <v>36</v>
      </c>
      <c r="E498" t="s">
        <v>26</v>
      </c>
      <c r="F498" t="s">
        <v>33</v>
      </c>
      <c r="G498" t="s">
        <v>59</v>
      </c>
      <c r="H498" t="s">
        <v>20</v>
      </c>
      <c r="K498" t="str">
        <f t="shared" si="14"/>
        <v>Payment</v>
      </c>
      <c r="L498" t="str">
        <f t="shared" si="15"/>
        <v>Phone</v>
      </c>
    </row>
    <row r="499" spans="1:12" x14ac:dyDescent="0.3">
      <c r="A499" t="s">
        <v>521</v>
      </c>
      <c r="B499" s="1">
        <v>45833.167361111111</v>
      </c>
      <c r="D499" t="s">
        <v>11</v>
      </c>
      <c r="E499" t="s">
        <v>26</v>
      </c>
      <c r="F499" t="s">
        <v>13</v>
      </c>
      <c r="G499" t="s">
        <v>59</v>
      </c>
      <c r="H499" t="s">
        <v>34</v>
      </c>
      <c r="K499" t="str">
        <f t="shared" si="14"/>
        <v>Refund</v>
      </c>
      <c r="L499" t="str">
        <f t="shared" si="15"/>
        <v>Phone</v>
      </c>
    </row>
    <row r="500" spans="1:12" x14ac:dyDescent="0.3">
      <c r="A500" t="s">
        <v>523</v>
      </c>
      <c r="B500" s="1">
        <v>45773.850694444445</v>
      </c>
      <c r="D500" t="s">
        <v>32</v>
      </c>
      <c r="E500" t="s">
        <v>12</v>
      </c>
      <c r="F500" t="s">
        <v>19</v>
      </c>
      <c r="G500" t="s">
        <v>59</v>
      </c>
      <c r="H500" t="s">
        <v>34</v>
      </c>
      <c r="K500" t="str">
        <f t="shared" si="14"/>
        <v>Technical Issue</v>
      </c>
      <c r="L500" t="str">
        <f t="shared" si="15"/>
        <v>Email</v>
      </c>
    </row>
    <row r="501" spans="1:12" x14ac:dyDescent="0.3">
      <c r="A501" t="s">
        <v>528</v>
      </c>
      <c r="B501" s="1">
        <v>45659.776388888888</v>
      </c>
      <c r="D501" t="s">
        <v>47</v>
      </c>
      <c r="E501" t="s">
        <v>12</v>
      </c>
      <c r="F501" t="s">
        <v>23</v>
      </c>
      <c r="G501" t="s">
        <v>59</v>
      </c>
      <c r="H501" t="s">
        <v>20</v>
      </c>
      <c r="K501" t="str">
        <f t="shared" si="14"/>
        <v>Product Information</v>
      </c>
      <c r="L501" t="str">
        <f t="shared" si="15"/>
        <v>Email</v>
      </c>
    </row>
  </sheetData>
  <autoFilter ref="K1:K501" xr:uid="{00000000-0001-0000-0300-000000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93210-1446-489C-AA8D-21542464FE20}">
  <dimension ref="A1:T160"/>
  <sheetViews>
    <sheetView topLeftCell="A72" workbookViewId="0">
      <selection activeCell="C95" sqref="C95"/>
    </sheetView>
  </sheetViews>
  <sheetFormatPr defaultRowHeight="14.4" x14ac:dyDescent="0.3"/>
  <cols>
    <col min="1" max="1" width="12.5546875" bestFit="1" customWidth="1"/>
    <col min="2" max="2" width="16.109375" bestFit="1" customWidth="1"/>
    <col min="3" max="4" width="29.5546875" bestFit="1" customWidth="1"/>
    <col min="7" max="7" width="65" customWidth="1"/>
    <col min="9" max="9" width="42.6640625" customWidth="1"/>
  </cols>
  <sheetData>
    <row r="1" spans="1:2" ht="18" x14ac:dyDescent="0.35">
      <c r="A1" s="10" t="s">
        <v>557</v>
      </c>
    </row>
    <row r="3" spans="1:2" x14ac:dyDescent="0.3">
      <c r="A3" s="2" t="s">
        <v>539</v>
      </c>
      <c r="B3" t="s">
        <v>541</v>
      </c>
    </row>
    <row r="4" spans="1:2" x14ac:dyDescent="0.3">
      <c r="A4" s="3"/>
      <c r="B4">
        <v>1</v>
      </c>
    </row>
    <row r="5" spans="1:2" x14ac:dyDescent="0.3">
      <c r="A5" s="3" t="s">
        <v>28</v>
      </c>
      <c r="B5">
        <v>78</v>
      </c>
    </row>
    <row r="6" spans="1:2" x14ac:dyDescent="0.3">
      <c r="A6" s="3" t="s">
        <v>17</v>
      </c>
      <c r="B6">
        <v>79</v>
      </c>
    </row>
    <row r="7" spans="1:2" x14ac:dyDescent="0.3">
      <c r="A7" s="3" t="s">
        <v>36</v>
      </c>
      <c r="B7">
        <v>88</v>
      </c>
    </row>
    <row r="8" spans="1:2" x14ac:dyDescent="0.3">
      <c r="A8" s="3" t="s">
        <v>47</v>
      </c>
      <c r="B8">
        <v>89</v>
      </c>
    </row>
    <row r="9" spans="1:2" x14ac:dyDescent="0.3">
      <c r="A9" s="3" t="s">
        <v>11</v>
      </c>
      <c r="B9">
        <v>89</v>
      </c>
    </row>
    <row r="10" spans="1:2" x14ac:dyDescent="0.3">
      <c r="A10" s="3" t="s">
        <v>32</v>
      </c>
      <c r="B10">
        <v>76</v>
      </c>
    </row>
    <row r="11" spans="1:2" x14ac:dyDescent="0.3">
      <c r="A11" s="3" t="s">
        <v>540</v>
      </c>
      <c r="B11">
        <v>500</v>
      </c>
    </row>
    <row r="19" spans="1:2" x14ac:dyDescent="0.3">
      <c r="A19" t="s">
        <v>554</v>
      </c>
      <c r="B19" t="s">
        <v>555</v>
      </c>
    </row>
    <row r="21" spans="1:2" ht="18" x14ac:dyDescent="0.35">
      <c r="A21" s="10" t="s">
        <v>556</v>
      </c>
    </row>
    <row r="23" spans="1:2" x14ac:dyDescent="0.3">
      <c r="A23" s="2" t="s">
        <v>539</v>
      </c>
      <c r="B23" t="s">
        <v>541</v>
      </c>
    </row>
    <row r="24" spans="1:2" x14ac:dyDescent="0.3">
      <c r="A24" s="3" t="s">
        <v>23</v>
      </c>
      <c r="B24">
        <v>127</v>
      </c>
    </row>
    <row r="25" spans="1:2" x14ac:dyDescent="0.3">
      <c r="A25" s="3" t="s">
        <v>13</v>
      </c>
      <c r="B25">
        <v>135</v>
      </c>
    </row>
    <row r="26" spans="1:2" x14ac:dyDescent="0.3">
      <c r="A26" s="3" t="s">
        <v>33</v>
      </c>
      <c r="B26">
        <v>104</v>
      </c>
    </row>
    <row r="27" spans="1:2" x14ac:dyDescent="0.3">
      <c r="A27" s="3" t="s">
        <v>19</v>
      </c>
      <c r="B27">
        <v>134</v>
      </c>
    </row>
    <row r="28" spans="1:2" x14ac:dyDescent="0.3">
      <c r="A28" s="3" t="s">
        <v>540</v>
      </c>
      <c r="B28">
        <v>500</v>
      </c>
    </row>
    <row r="30" spans="1:2" x14ac:dyDescent="0.3">
      <c r="A30" s="3" t="s">
        <v>558</v>
      </c>
      <c r="B30" t="s">
        <v>13</v>
      </c>
    </row>
    <row r="31" spans="1:2" x14ac:dyDescent="0.3">
      <c r="A31" s="3" t="s">
        <v>547</v>
      </c>
      <c r="B31">
        <v>134</v>
      </c>
    </row>
    <row r="32" spans="1:2" x14ac:dyDescent="0.3">
      <c r="A32" s="3" t="s">
        <v>559</v>
      </c>
      <c r="B32" s="11">
        <f>134/500</f>
        <v>0.26800000000000002</v>
      </c>
    </row>
    <row r="37" spans="1:2" ht="18" x14ac:dyDescent="0.35">
      <c r="A37" s="10" t="s">
        <v>560</v>
      </c>
    </row>
    <row r="40" spans="1:2" x14ac:dyDescent="0.3">
      <c r="A40" s="2" t="s">
        <v>539</v>
      </c>
      <c r="B40" t="s">
        <v>541</v>
      </c>
    </row>
    <row r="41" spans="1:2" x14ac:dyDescent="0.3">
      <c r="A41" s="3" t="s">
        <v>29</v>
      </c>
      <c r="B41">
        <v>96</v>
      </c>
    </row>
    <row r="42" spans="1:2" x14ac:dyDescent="0.3">
      <c r="A42" s="3" t="s">
        <v>59</v>
      </c>
      <c r="B42">
        <v>85</v>
      </c>
    </row>
    <row r="43" spans="1:2" x14ac:dyDescent="0.3">
      <c r="A43" s="3" t="s">
        <v>14</v>
      </c>
      <c r="B43">
        <v>319</v>
      </c>
    </row>
    <row r="44" spans="1:2" x14ac:dyDescent="0.3">
      <c r="A44" s="3" t="s">
        <v>540</v>
      </c>
      <c r="B44">
        <v>500</v>
      </c>
    </row>
    <row r="47" spans="1:2" x14ac:dyDescent="0.3">
      <c r="A47" s="3" t="s">
        <v>549</v>
      </c>
      <c r="B47" s="11">
        <f>319/500</f>
        <v>0.63800000000000001</v>
      </c>
    </row>
    <row r="51" spans="1:2" ht="18" x14ac:dyDescent="0.35">
      <c r="A51" s="10" t="s">
        <v>561</v>
      </c>
    </row>
    <row r="53" spans="1:2" x14ac:dyDescent="0.3">
      <c r="A53" s="2" t="s">
        <v>539</v>
      </c>
      <c r="B53" t="s">
        <v>562</v>
      </c>
    </row>
    <row r="54" spans="1:2" x14ac:dyDescent="0.3">
      <c r="A54" s="3" t="s">
        <v>28</v>
      </c>
      <c r="B54">
        <v>38.264062500000001</v>
      </c>
    </row>
    <row r="55" spans="1:2" x14ac:dyDescent="0.3">
      <c r="A55" s="3" t="s">
        <v>17</v>
      </c>
      <c r="B55">
        <v>33.360869565217392</v>
      </c>
    </row>
    <row r="56" spans="1:2" x14ac:dyDescent="0.3">
      <c r="A56" s="3" t="s">
        <v>36</v>
      </c>
      <c r="B56">
        <v>36.82916666666668</v>
      </c>
    </row>
    <row r="57" spans="1:2" x14ac:dyDescent="0.3">
      <c r="A57" s="3" t="s">
        <v>47</v>
      </c>
      <c r="B57">
        <v>38.745070422535228</v>
      </c>
    </row>
    <row r="58" spans="1:2" x14ac:dyDescent="0.3">
      <c r="A58" s="3" t="s">
        <v>11</v>
      </c>
      <c r="B58">
        <v>31.670512820512823</v>
      </c>
    </row>
    <row r="59" spans="1:2" x14ac:dyDescent="0.3">
      <c r="A59" s="3" t="s">
        <v>32</v>
      </c>
      <c r="B59">
        <v>37.443333333333342</v>
      </c>
    </row>
    <row r="60" spans="1:2" x14ac:dyDescent="0.3">
      <c r="A60" s="3" t="s">
        <v>540</v>
      </c>
      <c r="B60">
        <v>35.918599033816385</v>
      </c>
    </row>
    <row r="67" spans="1:20" x14ac:dyDescent="0.3">
      <c r="A67" t="s">
        <v>563</v>
      </c>
      <c r="B67" t="s">
        <v>566</v>
      </c>
    </row>
    <row r="68" spans="1:20" x14ac:dyDescent="0.3">
      <c r="A68" t="s">
        <v>564</v>
      </c>
      <c r="B68" t="s">
        <v>11</v>
      </c>
      <c r="T68" s="12"/>
    </row>
    <row r="69" spans="1:20" x14ac:dyDescent="0.3">
      <c r="A69" t="s">
        <v>565</v>
      </c>
      <c r="B69">
        <f>GETPIVOTDATA("resolution_time_hours",$A$53,"clean_category","Product Information")-GETPIVOTDATA("resolution_time_hours",$A$53,"clean_category","Refund")</f>
        <v>7.0745576020224057</v>
      </c>
    </row>
    <row r="72" spans="1:20" s="13" customFormat="1" ht="86.4" x14ac:dyDescent="0.3">
      <c r="A72" s="14" t="s">
        <v>567</v>
      </c>
    </row>
    <row r="75" spans="1:20" ht="18" x14ac:dyDescent="0.35">
      <c r="A75" s="10" t="s">
        <v>568</v>
      </c>
    </row>
    <row r="77" spans="1:20" x14ac:dyDescent="0.3">
      <c r="A77" s="2" t="s">
        <v>539</v>
      </c>
      <c r="B77" t="s">
        <v>569</v>
      </c>
    </row>
    <row r="78" spans="1:20" x14ac:dyDescent="0.3">
      <c r="A78" s="3"/>
    </row>
    <row r="79" spans="1:20" x14ac:dyDescent="0.3">
      <c r="A79" s="3" t="s">
        <v>28</v>
      </c>
      <c r="B79">
        <v>3.5918367346938775</v>
      </c>
    </row>
    <row r="80" spans="1:20" x14ac:dyDescent="0.3">
      <c r="A80" s="3" t="s">
        <v>17</v>
      </c>
      <c r="B80">
        <v>3.5576923076923075</v>
      </c>
    </row>
    <row r="81" spans="1:2" x14ac:dyDescent="0.3">
      <c r="A81" s="3" t="s">
        <v>36</v>
      </c>
      <c r="B81">
        <v>3.0566037735849059</v>
      </c>
    </row>
    <row r="82" spans="1:2" x14ac:dyDescent="0.3">
      <c r="A82" s="3" t="s">
        <v>47</v>
      </c>
      <c r="B82">
        <v>3</v>
      </c>
    </row>
    <row r="83" spans="1:2" x14ac:dyDescent="0.3">
      <c r="A83" s="3" t="s">
        <v>11</v>
      </c>
      <c r="B83">
        <v>3.1333333333333333</v>
      </c>
    </row>
    <row r="84" spans="1:2" x14ac:dyDescent="0.3">
      <c r="A84" s="3" t="s">
        <v>32</v>
      </c>
      <c r="B84">
        <v>3</v>
      </c>
    </row>
    <row r="85" spans="1:2" x14ac:dyDescent="0.3">
      <c r="A85" s="3" t="s">
        <v>540</v>
      </c>
      <c r="B85">
        <v>3.2163009404388716</v>
      </c>
    </row>
    <row r="89" spans="1:2" x14ac:dyDescent="0.3">
      <c r="A89" t="s">
        <v>570</v>
      </c>
      <c r="B89" t="s">
        <v>28</v>
      </c>
    </row>
    <row r="90" spans="1:2" x14ac:dyDescent="0.3">
      <c r="A90" t="s">
        <v>571</v>
      </c>
      <c r="B90" t="s">
        <v>573</v>
      </c>
    </row>
    <row r="91" spans="1:2" x14ac:dyDescent="0.3">
      <c r="A91" t="s">
        <v>572</v>
      </c>
      <c r="B91">
        <f>GETPIVOTDATA("customer_satisfaction",$A$77,"clean_category","Account")-GETPIVOTDATA("customer_satisfaction",$A$77,"clean_category","Product Information")</f>
        <v>0.59183673469387754</v>
      </c>
    </row>
    <row r="96" spans="1:2" ht="18" x14ac:dyDescent="0.35">
      <c r="A96" s="10" t="s">
        <v>574</v>
      </c>
    </row>
    <row r="97" spans="1:9" x14ac:dyDescent="0.3">
      <c r="I97" s="15"/>
    </row>
    <row r="98" spans="1:9" x14ac:dyDescent="0.3">
      <c r="A98" s="2" t="s">
        <v>539</v>
      </c>
      <c r="B98" t="s">
        <v>562</v>
      </c>
      <c r="C98" t="s">
        <v>569</v>
      </c>
      <c r="G98" s="16"/>
    </row>
    <row r="99" spans="1:9" x14ac:dyDescent="0.3">
      <c r="A99" s="3"/>
      <c r="B99">
        <v>29.3</v>
      </c>
    </row>
    <row r="100" spans="1:9" x14ac:dyDescent="0.3">
      <c r="A100" s="3" t="s">
        <v>28</v>
      </c>
      <c r="B100">
        <v>38.264062500000001</v>
      </c>
      <c r="C100">
        <v>3.5918367346938775</v>
      </c>
    </row>
    <row r="101" spans="1:9" x14ac:dyDescent="0.3">
      <c r="A101" s="3" t="s">
        <v>17</v>
      </c>
      <c r="B101">
        <v>33.360869565217392</v>
      </c>
      <c r="C101">
        <v>3.5576923076923075</v>
      </c>
    </row>
    <row r="102" spans="1:9" x14ac:dyDescent="0.3">
      <c r="A102" s="3" t="s">
        <v>36</v>
      </c>
      <c r="B102">
        <v>36.82916666666668</v>
      </c>
      <c r="C102">
        <v>3.0566037735849059</v>
      </c>
    </row>
    <row r="103" spans="1:9" x14ac:dyDescent="0.3">
      <c r="A103" s="3" t="s">
        <v>47</v>
      </c>
      <c r="B103">
        <v>38.745070422535228</v>
      </c>
      <c r="C103">
        <v>3</v>
      </c>
    </row>
    <row r="104" spans="1:9" x14ac:dyDescent="0.3">
      <c r="A104" s="3" t="s">
        <v>11</v>
      </c>
      <c r="B104">
        <v>31.670512820512823</v>
      </c>
      <c r="C104">
        <v>3.1333333333333333</v>
      </c>
    </row>
    <row r="105" spans="1:9" x14ac:dyDescent="0.3">
      <c r="A105" s="3" t="s">
        <v>32</v>
      </c>
      <c r="B105">
        <v>37.443333333333342</v>
      </c>
      <c r="C105">
        <v>3</v>
      </c>
    </row>
    <row r="106" spans="1:9" x14ac:dyDescent="0.3">
      <c r="A106" s="3" t="s">
        <v>540</v>
      </c>
      <c r="B106">
        <v>35.902650602409601</v>
      </c>
      <c r="C106">
        <v>3.2163009404388716</v>
      </c>
    </row>
    <row r="109" spans="1:9" ht="115.2" x14ac:dyDescent="0.3">
      <c r="A109" s="17" t="s">
        <v>575</v>
      </c>
    </row>
    <row r="112" spans="1:9" ht="18" x14ac:dyDescent="0.35">
      <c r="A112" s="10" t="s">
        <v>576</v>
      </c>
    </row>
    <row r="113" spans="1:2" x14ac:dyDescent="0.3">
      <c r="A113" s="2" t="s">
        <v>539</v>
      </c>
      <c r="B113" t="s">
        <v>541</v>
      </c>
    </row>
    <row r="114" spans="1:2" x14ac:dyDescent="0.3">
      <c r="A114" s="3" t="s">
        <v>18</v>
      </c>
      <c r="B114">
        <v>123</v>
      </c>
    </row>
    <row r="115" spans="1:2" x14ac:dyDescent="0.3">
      <c r="A115" s="3" t="s">
        <v>12</v>
      </c>
      <c r="B115">
        <v>120</v>
      </c>
    </row>
    <row r="116" spans="1:2" x14ac:dyDescent="0.3">
      <c r="A116" s="3" t="s">
        <v>26</v>
      </c>
      <c r="B116">
        <v>138</v>
      </c>
    </row>
    <row r="117" spans="1:2" x14ac:dyDescent="0.3">
      <c r="A117" s="3" t="s">
        <v>22</v>
      </c>
      <c r="B117">
        <v>119</v>
      </c>
    </row>
    <row r="118" spans="1:2" x14ac:dyDescent="0.3">
      <c r="A118" s="3" t="s">
        <v>540</v>
      </c>
      <c r="B118">
        <v>500</v>
      </c>
    </row>
    <row r="123" spans="1:2" x14ac:dyDescent="0.3">
      <c r="A123" t="s">
        <v>577</v>
      </c>
      <c r="B123" s="18">
        <f>GETPIVOTDATA("ticket_id",$A$113,"channel_updated","Phone")/500</f>
        <v>0.27600000000000002</v>
      </c>
    </row>
    <row r="125" spans="1:2" ht="244.8" x14ac:dyDescent="0.3">
      <c r="A125" s="19" t="s">
        <v>578</v>
      </c>
    </row>
    <row r="128" spans="1:2" ht="15.6" x14ac:dyDescent="0.3">
      <c r="A128" s="9" t="s">
        <v>579</v>
      </c>
    </row>
    <row r="130" spans="1:4" x14ac:dyDescent="0.3">
      <c r="A130" s="2" t="s">
        <v>539</v>
      </c>
      <c r="B130" t="s">
        <v>541</v>
      </c>
      <c r="C130" t="s">
        <v>562</v>
      </c>
      <c r="D130" t="s">
        <v>569</v>
      </c>
    </row>
    <row r="131" spans="1:4" x14ac:dyDescent="0.3">
      <c r="A131" s="3" t="s">
        <v>39</v>
      </c>
      <c r="B131">
        <v>59</v>
      </c>
      <c r="C131">
        <v>38.744680851063826</v>
      </c>
      <c r="D131">
        <v>3.2162162162162162</v>
      </c>
    </row>
    <row r="132" spans="1:4" x14ac:dyDescent="0.3">
      <c r="A132" s="3" t="s">
        <v>34</v>
      </c>
      <c r="B132">
        <v>60</v>
      </c>
      <c r="C132">
        <v>37.441176470588232</v>
      </c>
      <c r="D132">
        <v>3.0540540540540539</v>
      </c>
    </row>
    <row r="133" spans="1:4" x14ac:dyDescent="0.3">
      <c r="A133" s="3" t="s">
        <v>37</v>
      </c>
      <c r="B133">
        <v>69</v>
      </c>
      <c r="C133">
        <v>38.210000000000008</v>
      </c>
      <c r="D133">
        <v>3.5116279069767442</v>
      </c>
    </row>
    <row r="134" spans="1:4" x14ac:dyDescent="0.3">
      <c r="A134" s="3" t="s">
        <v>20</v>
      </c>
      <c r="B134">
        <v>59</v>
      </c>
      <c r="C134">
        <v>37.332653061224491</v>
      </c>
      <c r="D134">
        <v>3.4</v>
      </c>
    </row>
    <row r="135" spans="1:4" x14ac:dyDescent="0.3">
      <c r="A135" s="3" t="s">
        <v>24</v>
      </c>
      <c r="B135">
        <v>55</v>
      </c>
      <c r="C135">
        <v>37.697959183673476</v>
      </c>
      <c r="D135">
        <v>2.95</v>
      </c>
    </row>
    <row r="136" spans="1:4" x14ac:dyDescent="0.3">
      <c r="A136" s="3" t="s">
        <v>30</v>
      </c>
      <c r="B136">
        <v>59</v>
      </c>
      <c r="C136">
        <v>29.395833333333329</v>
      </c>
      <c r="D136">
        <v>2.9</v>
      </c>
    </row>
    <row r="137" spans="1:4" x14ac:dyDescent="0.3">
      <c r="A137" s="3" t="s">
        <v>15</v>
      </c>
      <c r="B137">
        <v>66</v>
      </c>
      <c r="C137">
        <v>35.488333333333337</v>
      </c>
      <c r="D137">
        <v>3.4489795918367347</v>
      </c>
    </row>
    <row r="138" spans="1:4" x14ac:dyDescent="0.3">
      <c r="A138" s="3" t="s">
        <v>41</v>
      </c>
      <c r="B138">
        <v>73</v>
      </c>
      <c r="C138">
        <v>33.472131147540985</v>
      </c>
      <c r="D138">
        <v>3.2093023255813953</v>
      </c>
    </row>
    <row r="139" spans="1:4" x14ac:dyDescent="0.3">
      <c r="A139" s="3" t="s">
        <v>540</v>
      </c>
      <c r="B139">
        <v>500</v>
      </c>
      <c r="C139">
        <v>35.902650602409608</v>
      </c>
      <c r="D139">
        <v>3.2163009404388716</v>
      </c>
    </row>
    <row r="146" spans="1:3" x14ac:dyDescent="0.3">
      <c r="A146" t="s">
        <v>580</v>
      </c>
      <c r="C146" t="s">
        <v>41</v>
      </c>
    </row>
    <row r="147" spans="1:3" x14ac:dyDescent="0.3">
      <c r="A147" t="s">
        <v>581</v>
      </c>
      <c r="C147" t="s">
        <v>30</v>
      </c>
    </row>
    <row r="148" spans="1:3" x14ac:dyDescent="0.3">
      <c r="A148" t="s">
        <v>582</v>
      </c>
      <c r="C148" t="s">
        <v>583</v>
      </c>
    </row>
    <row r="151" spans="1:3" ht="18" x14ac:dyDescent="0.35">
      <c r="A151" s="10" t="s">
        <v>584</v>
      </c>
    </row>
    <row r="153" spans="1:3" x14ac:dyDescent="0.3">
      <c r="A153" s="2" t="s">
        <v>539</v>
      </c>
      <c r="B153" t="s">
        <v>541</v>
      </c>
    </row>
    <row r="154" spans="1:3" x14ac:dyDescent="0.3">
      <c r="A154" s="3" t="s">
        <v>585</v>
      </c>
      <c r="B154">
        <v>97</v>
      </c>
    </row>
    <row r="155" spans="1:3" x14ac:dyDescent="0.3">
      <c r="A155" s="3" t="s">
        <v>586</v>
      </c>
      <c r="B155">
        <v>83</v>
      </c>
    </row>
    <row r="156" spans="1:3" x14ac:dyDescent="0.3">
      <c r="A156" s="3" t="s">
        <v>587</v>
      </c>
      <c r="B156">
        <v>85</v>
      </c>
    </row>
    <row r="157" spans="1:3" x14ac:dyDescent="0.3">
      <c r="A157" s="3" t="s">
        <v>588</v>
      </c>
      <c r="B157">
        <v>86</v>
      </c>
    </row>
    <row r="158" spans="1:3" x14ac:dyDescent="0.3">
      <c r="A158" s="3" t="s">
        <v>589</v>
      </c>
      <c r="B158">
        <v>76</v>
      </c>
    </row>
    <row r="159" spans="1:3" x14ac:dyDescent="0.3">
      <c r="A159" s="3" t="s">
        <v>590</v>
      </c>
      <c r="B159">
        <v>73</v>
      </c>
    </row>
    <row r="160" spans="1:3" x14ac:dyDescent="0.3">
      <c r="A160" s="3" t="s">
        <v>540</v>
      </c>
      <c r="B160">
        <v>500</v>
      </c>
    </row>
  </sheetData>
  <pageMargins left="0.7" right="0.7" top="0.75" bottom="0.75" header="0.3" footer="0.3"/>
  <drawing r:id="rId10"/>
  <tableParts count="1">
    <tablePart r:id="rId1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Data Analysis</vt:lpstr>
      <vt:lpstr>cleaned data</vt:lpstr>
      <vt:lpstr>Category analysis with PivotTab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SHANZA REHMAN</dc:creator>
  <cp:lastModifiedBy>SHANZA REHMAN</cp:lastModifiedBy>
  <dcterms:created xsi:type="dcterms:W3CDTF">2026-07-19T16:59:47Z</dcterms:created>
  <dcterms:modified xsi:type="dcterms:W3CDTF">2026-08-04T21:03:10Z</dcterms:modified>
</cp:coreProperties>
</file>